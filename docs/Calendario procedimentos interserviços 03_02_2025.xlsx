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f1517\Desktop\realtorio atividades 2024\"/>
    </mc:Choice>
  </mc:AlternateContent>
  <xr:revisionPtr revIDLastSave="0" documentId="13_ncr:1_{AC461A82-9A8F-4FDA-938D-582070308741}" xr6:coauthVersionLast="47" xr6:coauthVersionMax="47" xr10:uidLastSave="{00000000-0000-0000-0000-000000000000}"/>
  <bookViews>
    <workbookView xWindow="-120" yWindow="-120" windowWidth="29040" windowHeight="15840" firstSheet="1" activeTab="1" xr2:uid="{00000000-000D-0000-FFFF-FFFF00000000}"/>
  </bookViews>
  <sheets>
    <sheet name="Folha1" sheetId="2" state="hidden" r:id="rId1"/>
    <sheet name="2022" sheetId="1" r:id="rId2"/>
    <sheet name="Folha3" sheetId="5" r:id="rId3"/>
    <sheet name="Folha2" sheetId="4" r:id="rId4"/>
    <sheet name="CleanUp" sheetId="3" r:id="rId5"/>
  </sheets>
  <definedNames>
    <definedName name="_xlnm._FilterDatabase" localSheetId="1" hidden="1">'2022'!$A$1:$T$76</definedName>
    <definedName name="_Hlk159920350" localSheetId="1">'2022'!$R$73</definedName>
    <definedName name="_xlnm.Print_Titles" localSheetId="1">'2022'!$5:$6</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4" l="1"/>
  <c r="I5" i="3"/>
  <c r="J5" i="3" s="1"/>
  <c r="I2" i="3"/>
  <c r="D23" i="3"/>
  <c r="D13" i="3"/>
  <c r="D5" i="3"/>
  <c r="D10" i="3"/>
  <c r="D7" i="3"/>
  <c r="I4" i="3"/>
  <c r="I3" i="3"/>
</calcChain>
</file>

<file path=xl/sharedStrings.xml><?xml version="1.0" encoding="utf-8"?>
<sst xmlns="http://schemas.openxmlformats.org/spreadsheetml/2006/main" count="855" uniqueCount="344">
  <si>
    <t>Jan</t>
  </si>
  <si>
    <t>Fev</t>
  </si>
  <si>
    <t>Mar</t>
  </si>
  <si>
    <t>Abr</t>
  </si>
  <si>
    <t>Mai</t>
  </si>
  <si>
    <t>Jun</t>
  </si>
  <si>
    <t>Jul</t>
  </si>
  <si>
    <t>Ago</t>
  </si>
  <si>
    <t>Set</t>
  </si>
  <si>
    <t>Out</t>
  </si>
  <si>
    <t>Nov</t>
  </si>
  <si>
    <t>Dez</t>
  </si>
  <si>
    <t>GAQ</t>
  </si>
  <si>
    <t>RESPONSÁVEL</t>
  </si>
  <si>
    <t>1º TRIMESTRE</t>
  </si>
  <si>
    <t>2º TRIMESTRE</t>
  </si>
  <si>
    <t>3º TRIMESTRE</t>
  </si>
  <si>
    <t>4º TRIMESTRE</t>
  </si>
  <si>
    <t>SDP</t>
  </si>
  <si>
    <t>DESCRIÇÃO</t>
  </si>
  <si>
    <t>AÇÃO</t>
  </si>
  <si>
    <t>FORMAÇÃO</t>
  </si>
  <si>
    <t>Outro</t>
  </si>
  <si>
    <t>UCI</t>
  </si>
  <si>
    <t>AQUISIÇÃO</t>
  </si>
  <si>
    <t xml:space="preserve">SDP </t>
  </si>
  <si>
    <t>GCOM</t>
  </si>
  <si>
    <t>EQUIPAMENTO</t>
  </si>
  <si>
    <t>SRH</t>
  </si>
  <si>
    <t>BISEL</t>
  </si>
  <si>
    <t>Aquisições/Obras</t>
  </si>
  <si>
    <t>Rótulos de Linha</t>
  </si>
  <si>
    <t>(em branco)</t>
  </si>
  <si>
    <t>Total Geral</t>
  </si>
  <si>
    <t>Soma de CUSTO</t>
  </si>
  <si>
    <t>Parametrização do sistema para retificações de inscrições (Intervalo de alunos por data/curso/critérios de exceção)</t>
  </si>
  <si>
    <t>x</t>
  </si>
  <si>
    <t>Apoio ao processo de candidaturas a PG e reingresso (2.ª fase)</t>
  </si>
  <si>
    <t>Apoio aos processos de matrículas de PG e de reingresso 2.ª fase nos ciclos de estudos</t>
  </si>
  <si>
    <t>Revisão da informação académica publicitada no site</t>
  </si>
  <si>
    <t>Criação/atualização de ficha de docente em sistema de acordo com os dados enviados pelo Serviço de Gestão de Recursos Humanos</t>
  </si>
  <si>
    <t>Verificação dos planos de estudo dos ciclos de estudos ministrados - plano, ramo, regras de final de curso, de transição de ano e disponibilidade para mobilidade, ativo, público e disponível para inscrição</t>
  </si>
  <si>
    <t>Marcação de salas de testes/ exames /provas e sua publicação</t>
  </si>
  <si>
    <t>Gestão da ocupação das salas para atividades letivas e não letivas</t>
  </si>
  <si>
    <t>Criação de horários de trabalho para elaboração de sumários</t>
  </si>
  <si>
    <t>Criação/verificação da parametrização de cada UC - área científica, n.º de ECTS, ano, semestre, disponibilidade de funcionamento, n.º de horas de contacto para as 4 tipologias de aula, ativa, obrigatória, pública, regras de inscrição, equivalências, correspondências e precedências, disponibilidade para mobilidade</t>
  </si>
  <si>
    <t>Criação de alertas/notificações no portal académico sobre o prazos de matrícula/inscrição</t>
  </si>
  <si>
    <t>Envio, receção e validação dos dados dos ficheiros máximos (códigos de UC/turma/turno)</t>
  </si>
  <si>
    <t>Parametrização do sistema para matrículas PG e reingressos 2.ª fase (Intervalo de alunos por data/curso/critérios de exceção)</t>
  </si>
  <si>
    <t>Parametrização do sistema para inscrições a UC (Intervalo de alunos por data/curso/critérios de exceção)</t>
  </si>
  <si>
    <t>Inserção dos dados de turmas/turnos/UCs e máximos em sistema</t>
  </si>
  <si>
    <t>Parametrização do sistema para matrículas CNA, CE, R, MPIC, RE, UCI, UCCES, I, PG, M, renovações</t>
  </si>
  <si>
    <t xml:space="preserve">Apoio aos processos de inscrições </t>
  </si>
  <si>
    <t>Envio de dados de novos alunos, ao Serviço de Informática e Redes de Comunicação, para criação de email de aluno</t>
  </si>
  <si>
    <t>Reunião de equipa para preparação de calendário de candidaturas concursos especiais/ provas de acesso a concursos especiais/ 2.º ciclo/reingresso/UCI/UCCES/PG (CE/CPE/CM/R/UCI/UCCES/PG)</t>
  </si>
  <si>
    <t>Verificação/Pedido da documentação para a parametrização das candidaturas a CE/CPE/CM/R/UCI/UCCES/PG</t>
  </si>
  <si>
    <t>Parametrização de candidaturas a CE/CPE/CM/R/UCI/UCCES/PG</t>
  </si>
  <si>
    <t>Receção e inserção do júri de candidaturas em sistema</t>
  </si>
  <si>
    <t>Apoio ao processo de candidaturas a CE/CPE/CM/R/UCI/UCCES/PG</t>
  </si>
  <si>
    <t>Criação/verificação das FUCs</t>
  </si>
  <si>
    <t>Elaboração/revisão de modelos/procedimentos/instruções de trabalho/guiões de trabalho</t>
  </si>
  <si>
    <t>Atualização do sistema: criação, modificação ou extinção de ciclos de estudos</t>
  </si>
  <si>
    <t>Receção da proposta de TFM e notificação ao aluno</t>
  </si>
  <si>
    <t>Receção do documento provisório de TFM</t>
  </si>
  <si>
    <t>Receção do júri de TFM e notificação ao aluno</t>
  </si>
  <si>
    <t>Receção da  2.ª versão do documento provisório de TFM</t>
  </si>
  <si>
    <t>Receção do despacho do júri de TFM e notificação ao aluno</t>
  </si>
  <si>
    <t>Marcação da prova de TFM e elaboração de edital (despacho do VP)</t>
  </si>
  <si>
    <t>Tramitação dos processos de TFM (receção de atas e disponibilização de pauta para lançamento de nota)</t>
  </si>
  <si>
    <t>Receção da versão definitiva de TFM e envio da mesma para publicação</t>
  </si>
  <si>
    <t>Criação/verificação de pautas de épocas normal, recurso e especial</t>
  </si>
  <si>
    <t>Inserção/verificação em sistema das regências das UCs e de curso</t>
  </si>
  <si>
    <t>Validação de dados RAIDES, em colaboração com o Serviço de Avaliação, Qualidade e Planeamento</t>
  </si>
  <si>
    <t>Validação de dados de bolsas atribuídas aos estudantes e atualização do registo académico em resposta ao SAS</t>
  </si>
  <si>
    <t>Atualização da informação académica dos estudantes de tipo atleta de acordo com as FADUs rececionadas da AEISEL</t>
  </si>
  <si>
    <t>até 31 de janeiro</t>
  </si>
  <si>
    <t>VP-PQ/P-CP/SGAAE/P/D-SRE</t>
  </si>
  <si>
    <t>Reunião de equipa para preparação de inscrições 1.º / 2.º semestre (calendários concursos e académico + vagas com indicação de CI e vagas sobrantes)</t>
  </si>
  <si>
    <t>Pedido a CC efetuado pelo P-CP</t>
  </si>
  <si>
    <t>SGAAE</t>
  </si>
  <si>
    <t xml:space="preserve">solicitar a </t>
  </si>
  <si>
    <t>Objetivo</t>
  </si>
  <si>
    <t>Preparação de proposta de calendários pela direção para envio ao CP e vagas para concursos o para envio aos CC</t>
  </si>
  <si>
    <t>CP/CC</t>
  </si>
  <si>
    <r>
      <t xml:space="preserve">Proposta de calendário interno relativo às inscrições 1ºS e 2ºS: datas de </t>
    </r>
    <r>
      <rPr>
        <b/>
        <sz val="10"/>
        <color theme="1"/>
        <rFont val="Calibri"/>
        <family val="2"/>
        <scheme val="minor"/>
      </rPr>
      <t>receção de ficheiros dos horários/</t>
    </r>
    <r>
      <rPr>
        <sz val="10"/>
        <color theme="1"/>
        <rFont val="Calibri"/>
        <family val="2"/>
        <scheme val="minor"/>
      </rPr>
      <t xml:space="preserve"> </t>
    </r>
    <r>
      <rPr>
        <b/>
        <sz val="10"/>
        <color theme="1"/>
        <rFont val="Calibri"/>
        <family val="2"/>
        <scheme val="minor"/>
      </rPr>
      <t>máximos por UC/turma/ encerramento de optativas</t>
    </r>
    <r>
      <rPr>
        <sz val="10"/>
        <color theme="1"/>
        <rFont val="Calibri"/>
        <family val="2"/>
        <scheme val="minor"/>
      </rPr>
      <t xml:space="preserve"> face às datas de inscrição período normal e período de retificações aprovadas em calendário académico</t>
    </r>
  </si>
  <si>
    <t>Informação atempada dos CC de curso das datas limites para envio/disponibilização de informação ao SGAAE</t>
  </si>
  <si>
    <t>Identificação de eventuais situações anómalas no calendário do ano transato</t>
  </si>
  <si>
    <t>CC/CTC</t>
  </si>
  <si>
    <r>
      <t xml:space="preserve">Instrução dos </t>
    </r>
    <r>
      <rPr>
        <b/>
        <sz val="10"/>
        <color theme="1"/>
        <rFont val="Calibri"/>
        <family val="2"/>
        <scheme val="minor"/>
      </rPr>
      <t>pedidos de planos de transição</t>
    </r>
    <r>
      <rPr>
        <sz val="10"/>
        <color theme="1"/>
        <rFont val="Calibri"/>
        <family val="2"/>
        <scheme val="minor"/>
      </rPr>
      <t xml:space="preserve"> (envio à CC, receção plano homologado, notificação ao estudante e receção de resposta, inserção em sistema)</t>
    </r>
  </si>
  <si>
    <t>Pedido de revisãos do conteúdos do SD para planos novos</t>
  </si>
  <si>
    <r>
      <t xml:space="preserve">Proposta de </t>
    </r>
    <r>
      <rPr>
        <b/>
        <sz val="10"/>
        <color theme="1"/>
        <rFont val="Calibri"/>
        <family val="2"/>
        <scheme val="minor"/>
      </rPr>
      <t>calendários concursos</t>
    </r>
    <r>
      <rPr>
        <sz val="10"/>
        <color theme="1"/>
        <rFont val="Calibri"/>
        <family val="2"/>
        <scheme val="minor"/>
      </rPr>
      <t xml:space="preserve"> e </t>
    </r>
    <r>
      <rPr>
        <b/>
        <sz val="10"/>
        <color theme="1"/>
        <rFont val="Calibri"/>
        <family val="2"/>
        <scheme val="minor"/>
      </rPr>
      <t xml:space="preserve">académico </t>
    </r>
    <r>
      <rPr>
        <sz val="10"/>
        <color theme="1"/>
        <rFont val="Calibri"/>
        <family val="2"/>
        <scheme val="minor"/>
      </rPr>
      <t>(inclui datas de pré-inscrição e inscrições UCS 1ºS e 2ºS / divulgação de horários /datas limites para lançamento das notas por época de avaliação) + vagas todos os concursos incluindo internacionais para aprovação</t>
    </r>
  </si>
  <si>
    <t>receção de aprovação até 15 de abril</t>
  </si>
  <si>
    <t>- Protocolos assinados que envolvem lecionação por parte de docentes externos com a completa identificação dos mesmos (nome, n.º do cartão de cidadão, data de nascimento, categoria, data de início de funções, email de UO do IPL).</t>
  </si>
  <si>
    <t>Publicações em DR, de:
- Novos cursos de Pós-Graduação;
- Propostas de novos planos de estudo.</t>
  </si>
  <si>
    <t>Propostas de funcionamento de PGS</t>
  </si>
  <si>
    <t>Envio da informação de contratação ou cessação de funções de docentes, até 1 de julho:
- N.º de funcionário;
- Nome completo;
- N.º do cartão de cidadão;
- Data de nascimento;
- Categoria;
- Data de início/cessação de funções;
- Email do ISEL</t>
  </si>
  <si>
    <t>Até 1 de julho</t>
  </si>
  <si>
    <t>Planeamento</t>
  </si>
  <si>
    <t>Execução</t>
  </si>
  <si>
    <t>Validação dos dados dos ficheiros de horários rececionados (código curso/códigos de UC/docente/turma) e envio dos erros aos coordenadores/CTC</t>
  </si>
  <si>
    <t>melhoria</t>
  </si>
  <si>
    <t>verificação</t>
  </si>
  <si>
    <t>Execução/verificação</t>
  </si>
  <si>
    <t>Requerimentos e documentação</t>
  </si>
  <si>
    <t>CC</t>
  </si>
  <si>
    <t>Atividades de planeamento</t>
  </si>
  <si>
    <t>VP-PQ/P-CP/SGAAE/P</t>
  </si>
  <si>
    <t>até 15 de julho</t>
  </si>
  <si>
    <t>até 1 de julho</t>
  </si>
  <si>
    <t xml:space="preserve"> Notificação de disponibilização de FUC para edição _ após inserção de turmas  </t>
  </si>
  <si>
    <t xml:space="preserve"> cópia de FUCs do ano anterior mediante verificação de turmas em horários </t>
  </si>
  <si>
    <t>até 20 de julho</t>
  </si>
  <si>
    <t>até 25 de julho</t>
  </si>
  <si>
    <t>até XX data de calendário</t>
  </si>
  <si>
    <t>até 5 dias antes do processo de inscrição às UC.</t>
  </si>
  <si>
    <t>Envio dos ficheiros aos CC para solicitar indicação das UC a encerrar e ou ajuste do n.º de vagas das UC optativas disponíveis.</t>
  </si>
  <si>
    <t>após termino de inscrição a UC antes de retificações</t>
  </si>
  <si>
    <t>até 20 de fevereiro</t>
  </si>
  <si>
    <t xml:space="preserve"> aprovação até 15 de abril</t>
  </si>
  <si>
    <t>Proposta de calendário interno de candidaturas: datas de receção de calendários dos concursos homologados; júris de concursos/vagas</t>
  </si>
  <si>
    <t>até 15 de abril</t>
  </si>
  <si>
    <t xml:space="preserve">notificação do júri de datas de candidaturas </t>
  </si>
  <si>
    <t>matriculas e inscrições PO,05</t>
  </si>
  <si>
    <t>candidaturas PO,08</t>
  </si>
  <si>
    <t>TFM  PO,06</t>
  </si>
  <si>
    <t>Notificação de alerta ao IPL de datas de inscrição</t>
  </si>
  <si>
    <t>Comunicação ao SIRC novos alunos para criação email</t>
  </si>
  <si>
    <r>
      <t xml:space="preserve">vagas  (ver PO,08) / pedido de júri ao CTC: De acordo com o procedimento em vigor, para definição atempada dos calendários de candidatura aos concursos locais 2024/25, que tem sido efetuada em colaboração com o júri das provas de acesso destes concursos, agradecemos o envio da proposta de constituição de júri, preferencialmente, até </t>
    </r>
    <r>
      <rPr>
        <b/>
        <sz val="10"/>
        <color theme="1"/>
        <rFont val="Calibri"/>
        <family val="2"/>
      </rPr>
      <t>20 de fevereiro</t>
    </r>
    <r>
      <rPr>
        <sz val="10"/>
        <color theme="1"/>
        <rFont val="Calibri"/>
        <family val="2"/>
      </rPr>
      <t xml:space="preserve"> de 2024.
No sentido garantir uma uniformização de critérios de seriação dos diversos concursos locais aplicados pelos júri nomeados por curso e agilizar os processos para minimizar os atrasos na publicação dos editais sugerimos a nomeação de um presidente de júri (coordenador),  à semelhança do implementado para as provas de acesso, para os restantes concursos.
Esta proposta poderia permitir também uma coordenação entre os concursos com algumas características semelhantes, caso haja uma decisão de agrupamento, por exemplo, do seguinte modo:
- Provas: Maiores de 23, Titulares de especialização tecnológica, titulares de diploma de técnico superior profissional
- Seriação: Maiores de 23, Titulares de especialização tecnológica, titulares de diploma de técnico superior profissional
- Titulares de outros cursos superiores, mudança de par instituição/curso
- Mestrados
- Pós-graduações
- Reingresso licenciatura, reingresso mestrado
- Unidades curriculares isoladas e unidades curriculares de ciclos de estudos subsequentes.”</t>
    </r>
  </si>
  <si>
    <t>Pedido de existência de vagas para concursos especiais/mestrados/PG</t>
  </si>
  <si>
    <t>Enviar linhas orientadoras para a elaboração de calendários e os calendários do ano transato. Fazer em conjunto com o resultado das atas do Cp anterior para um ajuste continuo. E vagas de acordo com os limtes a3es e despacho orientador incluindo CI.</t>
  </si>
  <si>
    <t>até 30 de abril</t>
  </si>
  <si>
    <t>verificação de matrículas/inscrições irregulares/notificação dos estudantes em situação irregular</t>
  </si>
  <si>
    <t xml:space="preserve">Em colaboração com o Serviço de Comunicação e Imagem e SREI, criação de grupo de trabalho para apoio às inscrições </t>
  </si>
  <si>
    <t>Envio das informações aprovadas pelo Presidente do ISEL, até 1 de junho:
- Calendários de candidatura a concursos (CNA, CE, CM, CMPIC, CPG, CR, CUCI, CUCCES), aprovadas pelo Presidente do ISEL ao SGAAE, SCI, SRIC e NT;
- Vagas aprovadas para candidatura a concursos (CNA, CE, CEI, CM, CMPIC, CPG, CR, CRE, CUCI, CUCCES), - júri de concurso</t>
  </si>
  <si>
    <t>Pedido da documentação necessária às inscrições (UCs disponibilizadas fora do semestre de referência, UCs optativas com autorização para funcionamento nesse ano letivo, incluindo pedido de criação de nova UC para submissão de FUC através do portal académico, regras de precedência, regras de inscrição e RUC,UC_MOBin)</t>
  </si>
  <si>
    <r>
      <rPr>
        <sz val="10"/>
        <color rgb="FFFF0000"/>
        <rFont val="Calibri"/>
        <family val="2"/>
        <scheme val="minor"/>
      </rPr>
      <t>email de notificação aos docentes de datas de disponibilização de pautas e de prazos fim de lançament</t>
    </r>
    <r>
      <rPr>
        <sz val="10"/>
        <color theme="1"/>
        <rFont val="Calibri"/>
        <family val="2"/>
        <scheme val="minor"/>
      </rPr>
      <t>o/ email de notificação para inscrição a época especial (desde fim de época de recurso a 48h antes de exame)</t>
    </r>
  </si>
  <si>
    <t xml:space="preserve">Nos termos previstos da Lei n.º 37/2003, de 22 de agosto, com as alterações que lhe foram introduzidas pela Lei n.º 49/2005, de 30 de agosto, é estabelecido o regime de prescrições. 
Este regime obriga a todos os estudantes que não cumpram os critérios a prescreverem no término do ano letivo respetivo. 
A perda do direito à inscrição nos dois semestres seguintes é aplicada quando o Estudante, regularmente inscrito, não cumpra os critérios de aproveitamento escolar fixados na tabela seguinte: 
N.º máximo de inscrições 	Créditos ECTS obtidos (aprovados) 
3 	0 a 59 
4 	60 a 119 
5 	120 a 179 
Neste enquadramento e considerando que não reúne as condições para obtenção do número mínimo de créditos ECTS exigido, vimos pelo presente informar que prescreverá no final do corrente ano letivo, não podendo inscrever-se em 2023/24. 
Para efeitos de contestação desta situação, poderá nos próximos dez dias úteis informar do que lhe aprouver, com apresentação de documentação complementar, através do Portal Académico, em Requisitar de requerimentos – Pedido de reapreciação Prescrição. </t>
  </si>
  <si>
    <t>Notificar eventuais prescritos até 10 de maio</t>
  </si>
  <si>
    <t>Pedido até 10 de abril</t>
  </si>
  <si>
    <t>receção dos ficheiros uc sem min até 5 de set</t>
  </si>
  <si>
    <t>Informação/email tipo 1</t>
  </si>
  <si>
    <t>Informação/email tipo 2</t>
  </si>
  <si>
    <t>notificação docentes data fim lançamento nota por epoca exame até 10 janeiro</t>
  </si>
  <si>
    <r>
      <t xml:space="preserve">notificação docentes data fim lançamento nota por epoca exame </t>
    </r>
    <r>
      <rPr>
        <sz val="10"/>
        <rFont val="Calibri"/>
        <family val="2"/>
      </rPr>
      <t>até 15 junho/ notificação estudantes para inscrição EE até 1 de julho</t>
    </r>
  </si>
  <si>
    <t>envio até 15 de julho/receção até 22 de julho</t>
  </si>
  <si>
    <t>Verificação de condições de exceção de regras de inscrição - atualização de tipos de alunos (eventual finalista/bolseiro/prescritos/inativos/internacionais)</t>
  </si>
  <si>
    <t>Notificar eventuais internacionais até 10 de outubro</t>
  </si>
  <si>
    <t>Notificar graduados/MPIC/sem pagamento até 10 novembro</t>
  </si>
  <si>
    <t>Notificar eventuais internacionais até 10 de fevereiro</t>
  </si>
  <si>
    <t>até 20 de fevereiro (receção do júri)</t>
  </si>
  <si>
    <t>receção de aprovação (calendários e jPG em funcionamento e vagas) até 15 de abril</t>
  </si>
  <si>
    <t>Receção de editais e atualização de dados dos candidatos em sistema (colocado/não colocado) - verificar internacionais</t>
  </si>
  <si>
    <t>até 15 de junho</t>
  </si>
  <si>
    <t>Atualização da informação académica dos estudantes com necessidades educativas especiais/ finalistas(eventuais finalistas (processamento semanal em período de lançamento de notas) /membros Aiesel/membros CCC…</t>
  </si>
  <si>
    <t>VP-PQ</t>
  </si>
  <si>
    <t>SCI</t>
  </si>
  <si>
    <t>1.º REVISÃO ANUAL até 30 de MAIO</t>
  </si>
  <si>
    <t>notificação aos estudantes de eventual prescrição</t>
  </si>
  <si>
    <r>
      <t>verificar pré-inscrições sem pagamento associado - notificação para anulação/ alunos internacionais (inclui reingressos) com propina errada/ prescrições /</t>
    </r>
    <r>
      <rPr>
        <sz val="10"/>
        <color rgb="FFFF0000"/>
        <rFont val="Calibri"/>
        <family val="2"/>
        <scheme val="minor"/>
      </rPr>
      <t>com pagamento e sem inscrições a UC/graduados em lic / mudanças de par no isel</t>
    </r>
  </si>
  <si>
    <t>Notificação 1 - sem pagamento de propinas ou emolumentos e sem inscrição a UCs     
 "Caro estudante,
Verificamos que tem um pré-registo de inscrição em sistema, no entanto, sem qualquer pagamento associado ou inscrição a unidades curriculares. Esta situação é irregular, caso pretenda efetivar a sua inscrição deverá regularizar a sua situação financeira  até dia 15 de dezembro. Se não realizar qualquer pagamento no prazo definido assumiremos que o pré-registo foi realizado por lapso e anularemos o mesmo, para retomar os estudos terá de concorrer a reingresso. 
Caso pretenda efetuar a inscrição a alguma unidade curricular semestral ou anual fora de prazo, deve apresentar o seu pedido através do portal académico selecionando “Requisitar Requerimento” – “Requerimento de inscrição fora de prazo”.  
Notificação 2 - Com pagamento de propinas ou emolumentos e sem inscrição a UCs   
 “Caro estudante,
Verificamos que tem um pré-registo de inscrição em sistema, no entanto, sem  inscrição a unidades curriculares. Caso pretenda efetuar a inscrição a alguma unidade curricular fora de prazo, deve apresentar o seu pedido através do portal académico selecionando “Requisitar Requerimento” – “Requerimento de inscrição fora de prazo.”
Notificação 3 - Graduados com pré-inscrição  e MPIC do ISEL
“Caro estudante,
Verificamos que tem um pré-registo de inscrição irregular em sistema no curso que frequentou no ano transato. Deve regularizar a situação apresentando o pedido de anulação, indicando o motivo (graduação/mudança de par instituição/curso)  através do portal académico selecionando o perfil do curso pretendido, “Requisitar Requerimento” – “Requerimento de anulação.”
Notificação 4 - Internacionais
“Caro estudante,
Após verificação dos seus dados no sistema de gestão académica foi detetada a sua matrícula irregular em situação normal.
Assim, informamos que:
a) Não tendo o registo do estatuto de igualdade de direitos e deveres sido lavrado até 1 de janeiro do ano civil de ingresso, não poderá ingressar no ISEL no corrente ano letivo enquanto estudante nacional, mas somente como estudante internacional, tendo em conta o disposto no art.º 3.º, n.º 2, al. d) do Estatuto do Estudante Internacional, aprovado pelo DL n.º 36/2014;
b) Apenas poderá ingressar no ISEL enquanto aluno nacional conquanto faça prova junto do ISEL de que em 1 de janeiro do ano civil de ingresso já residia legalmente em Portugal há mais de 2 anos, de forma ininterrupta, sem considerar nesse período o tempo de residência com autorização de residência para estudo, cfr. art.º 3.º, n.º 2, al. c) e n.º 4 do citado DL n.º 36/2014, 
c) Ou ainda, se fizer prova de que é familiar direto de portugueses ou de nacionais de um Estado membro da UE;
Caso preencha os requisitos indicados na alínea b) deverá solicitar certidão ao Serviço de Estrangeiros e Fronteiras que indique desde que data é que reside, de forma ininterrupta, em Portugal, e qual o título a que foram atribuídas as autorizações de residência.”</t>
  </si>
  <si>
    <t>Verificação de pagamentos dos emolumentos associados às candidaturas e atualização do estado dos candidatos em sistema (candidatura formalizada condicional) - notificação de estudantes não nacionais</t>
  </si>
  <si>
    <t>ntoificação concursos locais</t>
  </si>
  <si>
    <t>notificação CNA e concursos locais</t>
  </si>
  <si>
    <t>notificação CNA nã nacionais</t>
  </si>
  <si>
    <t>“Caro estudante,
Após verificação dos seus dados no sistema de gestão académica, informamos que para a emissão da docuemtação solicitada deverá regualizar a sua situação financeira. Para consultar a mesma aceda ao portal académico."</t>
  </si>
  <si>
    <t>Boa tarde colegas,
De acordo com o calendário escolar aprovado para o próximo ano letivo, para que seja efetuada a parametrização atempada das Pós-graduações em sistema académico, solicita-se o envio da autorização da proposta das mesmas (incluindo, RUC devidamente aprovados), preferencialmente, até dia 15 de abril.</t>
  </si>
  <si>
    <t xml:space="preserve">Cara professora Cecília Calado,
No cumprimento do disposto no Despacho n.º 28/P/2015, junto envio o ficheiro com a indicação do número atual de inscritos em Unidades Curriculares (UC) optativas de modo auxiliar a vossa decisão sobre o seu funcionamento em regime normal face ao número mínimo de inscrições.
Caso pretenda solicitar o encerramento das respetivas inscrições em alguma das UC optativas, agradeço o envio do ficheiro em anexo devidamente preenchido, com a indicação de encerramento, na coluna J, com “Sim”.
Em particular, em relação às UC identificadas na coluna G -“LIMITE” do ficheiro com “SEM_MIN_”, se  a decisão for de encerrar as inscrições, por considerar que não existem condições para assegurar o funcionamento e pretenda a anulação das inscrições registadas deverá indicar, na coluna J, com “A”.
De modo a permitir que os estudantes sejam notificados atempadamente para efetuarem a correção da inscrição à UC optativa, solicito resposta, em caso de decisão de encerramento e anulação de inscrição de alguma unidade curricular optativa, a este email até dia 05-09-2024.
Notas para análise do documento anexo:
- UC optativa oferecida (coluna C-E);
- Número de inscritos total incluindo os inscritos noutros cursos nos caso a unidade curricular seja partilhada (coluna F);
- Cursos nos quais a oferta é feita em partilha (coluna I);
- Indicação, neste momento, se cumpre os limites face ao número de inscrições registadas (coluna G).
 </t>
  </si>
  <si>
    <t>Caros Docentes,
Venho por este meio informar que o preenchimento dos sumários das UC já se encontra disponível no portal académico.</t>
  </si>
  <si>
    <t>até 4 de julho seriação M23/DET/TESP</t>
  </si>
  <si>
    <t>1.º aviso até 9 de abril -todos</t>
  </si>
  <si>
    <t>até 18 de setembro seriação mestrado/UCI/UCCES</t>
  </si>
  <si>
    <t>até 17 de junho mestrados e reingressos e MPIC e TOCs/UCI/UCCES</t>
  </si>
  <si>
    <t>até 2 de dezembro UCI/UCCES/reingressos</t>
  </si>
  <si>
    <t>2.º aviso e seguintes: Caros(as) membros do júri),
A pedido da Sr.ª Vice-Presidente da Área Pedagógica e Qualidade, Professora Doutora Ana Cristina Borges de Azevedo junto reenvio os modelos de edital a utilizar na tramitação dos concursos especiais de acesso e um documento com as linhas orientadoras.
Salientando que os processos estarão disponíveis através do portal académico a partir da data para a apresentação de candidatura e o envio do edital e ata para homologação deverá cumprir os prazos definidos na Ordem de Serviço respetiva:
1.	Concurso especial de acesso destinado a maiores de 23 anos (M23): https://www.isel.pt/sites/default/files/Ordens_Servico/2024/OS_04_P_2024_Calendario_M23.pdf
2.	Concurso especial de acesso para titulares de diploma de especialização tecnológica (DET): https://www.isel.pt/sites/default/files/Ordens_Servico/2024/OS_04_P_2024_Calendario_M23.pdf
3.	 Concurso especial de acesso para titulares de diploma de técnico superior profissional (DTSP): https://www.isel.pt/sites/default/files/Ordens_Servico/2024/OS_04_P_2024_Calendario_M23.pdf
4.	Concurso de mudança de par instituição/curso: https://www.isel.pt/sites/default/files/Ordens_Servico/2024/OS_06_P_2024_Calendario_MPIC.pdf
5.	Concurso especial de acesso para titulares de outros cursos superiores (TOCS): https://www.isel.pt/sites/default/files/Ordens_Servico/2024/OS_06_P_2024_Calendario_MPIC.pdf
6.	Concurso de reingresso: https://www.isel.pt/sites/default/files/Ordens_Servico/2024/OS_07_P_2024_Calendario_Reingressos.pdf
7.	Concurso de Mestrado: https://www.isel.pt/sites/default/files/Ordens_Servico/2024/OS_05_P_2024_Calendario_Mestrados.pdf                                                                      8.	Concurso a Unidades Curriculares Isoladas e de Ciclos de Estudo Subsequentes: https://www.isel.pt/sites/default/files/Ordens_Servico/2024/OS_08_P_2024_Calendario_UCI_UCCES.pdf</t>
  </si>
  <si>
    <t>até 6 de maio provas</t>
  </si>
  <si>
    <t>emissão de documentação e processamento de requerimentos</t>
  </si>
  <si>
    <t>parametrização de pautas de épocas normal, recurso e especial</t>
  </si>
  <si>
    <t>até 25 de julho (prescritos e eventauis finalistas</t>
  </si>
  <si>
    <t>até 15 outubro (internacionais/graduados/MPIC</t>
  </si>
  <si>
    <t>graduação de estudantes sem pedido de diploma - verificação por script</t>
  </si>
  <si>
    <t>Informação atempada ao CP das datas limites para envio/disponibilização de informação ao SGAAE</t>
  </si>
  <si>
    <t>Pedido  a PCP e PCTC com cc presidente e D-SER e SSOGI efetuado pelo VP PQ; Pedido a CC efetuado pelo VP PQ</t>
  </si>
  <si>
    <t xml:space="preserve"> Pedido ao CP feito por VP-PQ e pedido ao SREI feito pelo SGAEE cc presidente</t>
  </si>
  <si>
    <t xml:space="preserve"> Pedido ao CTC pela VP- PQ com cc CC/SSOGI/presidente</t>
  </si>
  <si>
    <t xml:space="preserve"> Pedido aos CC pela VP-PQ com cc CTC/SSOGI/presidente</t>
  </si>
  <si>
    <t xml:space="preserve"> Pedido ao SQAP pela VP-PQ</t>
  </si>
  <si>
    <t xml:space="preserve"> Pedido ao CTC com cc RH pela VP-PQ</t>
  </si>
  <si>
    <t>Caros Docentes,
Venho por este meio informar que a opção para  a criação de pautas de época normal  das UC já se encontra disponível no portal académico. Se foi nomeado responsável de unidade curricular, deverá verificar o seu acesso à pauta respetiva. Os responsáveis de unidade curricular estão configurados em sistema de acordo com a aprovação pelo órgão competente.
As datas limite para o lançamento das classificações para o 2.º semestre estão definidas no sistema de acordo com o calendário académico (https://www.isel.pt/informacoes-academicas/calendario-academico/2023-24):
•	Época normal (exceto trabalhos finais de licenciatura):  Até 06 de julho 2024
•	Época de recurso (exceto trabalhos finais de licenciatura): Até 17 de julho de 2024
•	Época especial(exceto trabalhos finais de licenciatura): Até 31 de julho de 2024
•	Trabalhos finais de licenciatura - época normal e de recurso: Até 31 de julho de 2024
•	Trabalhos finais de licenciatura - época especial: Até 21 de setembro de 2024</t>
  </si>
  <si>
    <t xml:space="preserve"> Pedido pela VP-PQ Docentes/CC/alunos</t>
  </si>
  <si>
    <t xml:space="preserve"> fucs com publicação a 1 de setembro, cópia de 15 de julho publicadas no netpa a 15 de junho, validadas até 15 de maio</t>
  </si>
  <si>
    <t>Até 30 de Julho</t>
  </si>
  <si>
    <t>email everyone alunos 13 de julho</t>
  </si>
  <si>
    <t>email everyone alunos até 30 de agosto</t>
  </si>
  <si>
    <r>
      <t xml:space="preserve">everyone alunos: email tipo sem tabela Ver email de dia 19-03-2024: Caros estudantes
De acordo com o calendário escolar, aprovado para o ano letivo 2024/25,  as aulas terão início no dia 09/09/2024.
Para formalizar a sua matricula/pré-inscrição no próximo ano letivo deverá  seguir as indicações constantes em Guião de matrícula/inscrição.
Para garantir o acesso imediato ao menu de inscrição às unidades curriculares através do portal, deverá assegurar que a sua situação financeira se encontra regularizada.
Posteriormente, deverá realizar a inscrição às turmas/ UC (Unidades Curriculares) do 1.º  e 2.º semestre. Todo o processo é realizado através do portal académico.
A partir das 10:00 horas do dia 19/08/2024 até às 18:00 do dia 21/08/2024, estará disponível a fase de matrícula/pré-inscrição para o ano letivo 2024/25. 
•	Nesta fase é efetuada a aceitação dos termos e condições do ano letivo. Neste momento, a totalidade da propina é faturada e o seu pagamento é devido nos termos do despacho n.º 5111/2020, de 29 de abril: Qualquer pedido de plano de pagamentos do valor anual da propina deve obedecer ao estipulado no Despacho 18/P/2022.
•	Após aceitação dos termos, deverá efetuar o pagamento da taxa de inscrição, do seguro escolar e as prestações do valor anual da propina nas datas definidas (para os estudantes internacionais o valor da 1.ª prestação de propinas será atualizado após validação do registo da pré-inscrição pelo serviço).
•	A emissão de uma certidão de matricula ou inscrição só será efetuada após o pagamento da taxa de inscrição, do seguro escolar e inscrição nas unidades curriculares que vai frequentar no semestre letivo. 
•	No decorrer do preenchimento dos dados deverá selecionar criteriosamente o regime de frequência pretendido:
- tempo integral 60/30 ECTU por ano/semestre respetivamente - máximo 37/44 ECTU por semestre;
- ou tempo parcial - máximo 30 ECTU anuais. 
O regime escolhido será válido para todo o ano letivo, não serão permitidas alterações a partir do dia 31/11/2024, de acordo com o Despacho 18/P/2022.
•	O estudante que efetuou candidatura a mestrado, concursos especiais, reingressos ou mudança de par curso/instituição, e obteve colocação deverá, verificar o perfil apresentado no portal académico, antes de efetuar a matrícula. Deverá efetuar a sua inscrição no curso para o qual fez candidatura e foi colocado, não efetue a pré-inscrição no curso “antigo”. Se ainda não foi COLOCADO não faça a sua matrícula será notificado por email para o email de candidato para a realizar assim que todas condições estiverem reunidas. 
•	Os alunos que estiverem em fase de conclusão do curso, com a realização de exames de época especial, não devem fazer a matrícula/inscrição, antes de conhecerem os resultados dos exames efetuados, haverá um período de matrículas para regularização da inscrição.
•	Os alunos que estejam com dúvidas se entregam ou não o TFM até ao dia 30/09/2024, se não entregarem, apenas devem fazer matrícula após essa data, para evitar a criação de valores a pagamento desnecessários. Todos os que fizerem a entrega até ao dia 30/09/2024 tem de ter o mestrado concluído até ao dia 31/12/2024, caso contrário para efeitos de conclusão do mestrado tem de fazer matrícula em 2024/25. 
•	As matrículas de 1.º ano/1.ª vez e reingressos só serão possíveis nos prazos definidos para o efeito. Para mais informação consulte o site do ISEL relativa à sua modalidade de ingresso em calendários. 
Nota: Os estudantes que não realizaram a pré- inscrição no período anterior poderão efetua-la no período de inscrição às UC.
Para acederem à fase seguinte do processo, os estudantes devem ter a situação financeira regularizada. Aconselhamos a efetuar o pagamento dos valores com pelo menos 2 dias úteis de antecedência em relação à data prevista para inscrição às unidades curriculares. 
A escolha de turmas/UC será fracionada em blocos, por número de estudante, e ocorrerá entre as 10:00 horas de dia 30-08-2024 e as 14:00 horas de 04-09-2024, de acordo com o esquema seguinte:
- Dia 30/08/2024 das 10:00 às 14:00 e das 14:30 às 18:30 horas- estudantes com número superior a 51200;
- Dia 30/08/2024 das 14:30 às 18:30 horas e dia 02/09/2023 das 10:00 às 14:00 horas - estudantes com número entre 49750 e 51199;
- Dia 02/09/2023 das 10:00 às 14:00 e das 14:30 às 18:30 horas - estudantes com número entre 48200 e 49749;
- Dia 02/09/2023 das 14:30 às 18:30 horas e dia 03/09/2023 das 10:00 às 14:00 horas - estudantes com número entre 45200 e 48199;
- Dia 03/09/2023 das 10:00 às 14:00 e das 14:30 às 18:30 horas - estudantes com número inferior a 45200;
- Dia 04/09/2023 das 10:00 horas às 14:00 horas - todos os estudantes (que não realizaram a inscrição nos períodos anteriores)..
</t>
    </r>
    <r>
      <rPr>
        <sz val="10"/>
        <color rgb="FFFF0000"/>
        <rFont val="Calibri"/>
        <family val="2"/>
      </rPr>
      <t xml:space="preserve">Tabela de slots do Filipe:
Qt	&gt;=	&lt;=	1	2	3	4	5	&gt;5
893	51200	1000000000	100%	0%	0%	0%	0%	0%
868	49750	51199	6%	73%	21%	0%	0%	0%
812	48200	49749	4%	3%	49%	44%	0%	0%
775	45200	48199	11%	11%	8%	18%	33%	19%
617	1	45199	</t>
    </r>
    <r>
      <rPr>
        <sz val="10"/>
        <color theme="1"/>
        <rFont val="Calibri"/>
        <family val="2"/>
      </rPr>
      <t xml:space="preserve">					
Preferencialmente, devem escolher todas as unidades curriculares numa mesma turma/turno para evitar sobreposições de horário. . Apenas realizará a inscrição a uma tipologia de aula, essa inscrição corresponde à inscrição na unidade curricular a todas as tipologias de aula associadas na mesma turma.
O número de vagas é limitado por turma/turno e a gestão das mesmas é da competência da coordenação de curso. Eventualmente, poderá existir um ajuste das vagas ou da oferta de UC optativas. Essas alterações, a existirem, apenas produzirão efeitos no período de retificação de inscrições.
Os serviços não efetuam alterações ao número de vagas indicado pelo coordenador de curso. Não serão aceites pedidos de inscrição a UC ou alteração de turma apresentados por email. 
De 09/09/2024 às 10:00 horas a 10/09/2024 às 18:30 horas irá ocorrer um período de retificação de inscrições às UC, para os estudantes que, por qualquer motivo, não tenham realizado a sua inscrição no período anterior ou pretendam efetuar uma alteração à inscrição realizada anteriormente. 
De 27/09/2023 às 10:00 horas a 28/09/2023 às 14:00 horas irá ocorrer um período de retificação de inscrições às UC complementar exclusivo para os estudantes que tenham de regularizar a inscrição a unidades curriculares às quais não obtiveram aprovação em época especial.( só os trabalhos finais de licenciatura é que tem a data de 21 de setembro de 2024 como data final de lançamento de notas… as outras são ate 31 de julho)
Fora dos prazos indicados para inscrição, os pedidos extemporâneos de inscrição terão de ser submetidos exclusivamente através do portal académico em “Requisitar Requerimentos” e serão cobrados os respetivos emolumentos. Reforça-se que não serão aceites pedidos de inscrição ou de alteração de inscrição submetidos por email.
Os estudantes devem consultar o e-mail institucional, regularmente, para informações atualizadas. </t>
    </r>
  </si>
  <si>
    <t xml:space="preserve"> Pedido aos CC enviado pela VP-PQ </t>
  </si>
  <si>
    <t xml:space="preserve"> Pedido aoSIRC/IPL enviado pelo SGAEE</t>
  </si>
  <si>
    <t xml:space="preserve"> E mail enviado  everyone alunos com cc everyone docentes pela VP-PQ com cc licenciaturas</t>
  </si>
  <si>
    <t>Reencaminhar o email de notificação de alunos $R$25 e pedir divulgação.
Boa tarde,
Conforme combinado segue o email infra relativo às inscrições para prepararem os avisos nas redes sociais:
- 1.º aviso para a pré-inscrição (final de julho/inicio de agosto);
- 2.º aviso para a inscrição a UC (19 de agosto);
- 3.º aviso para a retificação de inscrição a UC (inicio de setembro).</t>
  </si>
  <si>
    <t>Pedido pelo SGAEE a D-SREI</t>
  </si>
  <si>
    <t xml:space="preserve"> Pedido das propostas de calendário, vagas ao CP e juris de concursos ao CTC efetuado pela VP-PQ</t>
  </si>
  <si>
    <t>até 15 de janeiro</t>
  </si>
  <si>
    <t>receção de aprovação (calendários e jPG em funcionamento e vagas) até 1 de abril</t>
  </si>
  <si>
    <t>“Caro candidato,
Após verificação dos seus dados no sistema de gestão académica foi detetada a sua candidatura sem comprovativo para aplicação do regime de exceção de Estudante Internacional.
Assim, informamos que:
a) Não tendo o registo do estatuto de igualdade de direitos e deveres sido lavrado até 1 de janeiro do ano civil de ingresso, não poderá ingressar no ISEL no corrente ano letivo enquanto estudante nacional, mas somente como estudante internacional, tendo em conta o disposto no art.º 3.º, n.º 2, al. d) do Estatuto do Estudante Internacional, aprovado pelo DL n.º 36/2014;
b) Apenas poderá ingressar no ISEL enquanto aluno nacional conquanto faça prova junto do ISEL de que em 1 de janeiro do ano civil de ingresso já residia legalmente em Portugal há mais de 2 anos, de forma ininterrupta, sem considerar nesse período o tempo de residência com autorização de residência para estudo, cfr. art.º 3.º, n.º 2, al. c) e n.º 4 do citado DL n.º 36/2014, 
c) Ou ainda, se fizer prova de que é familiar direto de portugueses ou de nacionais de um Estado membro da UE;
Caso preencha os requisitos indicados na alínea b) deverá solicitar certidão ao Serviço de Estrangeiros e Fronteiras que indique desde que data é que reside, de forma ininterrupta, em Portugal, e qual o título a que foram atribuídas as autorizações de residência.” Poderá regularizar a situação nos10 dias posteriores à receção deste e mail.</t>
  </si>
  <si>
    <r>
      <t>O Presidente do ISEL homologa o mapa com a composição do júri dos concursos, número de vagas e calendário e emite o Despacho de abertura (</t>
    </r>
    <r>
      <rPr>
        <sz val="10"/>
        <color rgb="FF000000"/>
        <rFont val="Calibri"/>
        <family val="2"/>
        <scheme val="minor"/>
      </rPr>
      <t>prevista até abril de cada ano) e envia ao SSOGI</t>
    </r>
    <r>
      <rPr>
        <sz val="10"/>
        <color theme="1"/>
        <rFont val="Calibri"/>
        <family val="2"/>
        <scheme val="minor"/>
      </rPr>
      <t>A definição do n.º de vagas está sujeita ao limite fixado pela acreditação do ciclo de estudos e às orientações gerais estabelecidas pela tutela.
O CP solicita ao CCD a proposta de vagas previstas por concurso de acordo com os limites fixados. No caso de não existir publicação do despacho orientador à data do pedido, para os concursos especiais e para as mudanças de par instituição curso deve ser tido por referência os valores do ano letivo anterior. Cada curso de licenciatura deve indicar, até março, a intenção de abertura do concurso M23, DET e DTESP.</t>
    </r>
  </si>
  <si>
    <t xml:space="preserve">1 - Situação “Prescrito” – Estudantes que de acordo com o seu registo no sistema académico atual não reúnem condições para efetuar a sua inscrição no próximo ano letivo: 
“ Assunto: Aplicação do Regime de prescrições - Aviso                                                                                               Nos termos previstos da Lei n.º 37/2003, de 22 de agosto, com as alterações que lhe foram introduzidas pela Lei n.º 49/2005, de 30 de agosto, é estabelecido o regime de prescrições. 
Este regime obriga a todos os estudantes que não cumpram os critérios a prescreverem no término do ano letivo respetivo. 
A perda do direito à inscrição nos dois semestres seguintes é aplicada quando o Estudante, regularmente inscrito, não cumpra os critérios de aproveitamento escolar fixados na tabela seguinte: 
Tabela: N.º máximo de inscrições 	Créditos ECTS obtidos (aprovados) 
3 	0 a 59 
4 	60 a 119 
5 	120 a 179 
Neste enquadramento e considerando que não reúne as condições para obtenção do número mínimo de créditos ECTS exigido, vimos pelo presente informar que prescreverá no final do corrente ano letivo, não podendo inscrever-se em 2023/24. 
Para efeitos de contestação desta situação, poderá nos próximos dez dias úteis informar do que lhe aprouver, com apresentação de documentação complementar, através do Portal Académico, em Requisitar de requerimentos – Pedido de reapreciação Prescrição. </t>
  </si>
  <si>
    <t>2 - Situação “EventPrescrito”: Em risco de Prescrição
2.1.  – Estudantes que de acordo com o seu registo no sistema académico atual após retificação da inscrição atual poderão reunir condições para efetuar a sua inscrição no próximo ano letivo, caso obtenham aprovação ao número de ECTS necessário
2.2. –  Estudantes que de acordo com o seu registo no sistema académico atual que poderão reunir condições para efetuar a sua inscrição no próximo ano letivo, que estão em condições de concluir o curso, caso obtenham aprovação ao número de ECTS necessário 
“ Assunto: Aplicação do Regime de prescrições – Aviso de risco de prescrição
Nos termos previstos da Lei n.º 37/2003, de 22 de agosto, com as alterações que lhe foram introduzidas pela Lei n.º 49/2005, de 30 de agosto, que estabelece as bases de financiamento do Ensino Superior, o regime de prescrições veio introduzir o princípio da responsabilização dos estudantes, que devem revelar adequado aproveitamento escolar, justificando pelo seu mérito, o acesso ao bem social de que beneficiam.
Este regime obriga a todos os estudantes que não cumpram os critérios a prescreverem no términos do ano letivo respetivo. 
A perda do direito à inscrição nos dois semestres seguintes é aplicada quando o/a  Estudante, regularmente inscrito/a, não cumpra os critérios de aproveitamento escolar fixados na tabela seguinte:
N.º máximo de inscrições	Créditos ECTS obtidos (aprovados)
3	0 a 59
4	60 a 119
5	120 a 179
De acordo com o Despacho n.º 9328/2013, de 16 de julho, Manual Académico do Instituto Politécnico de Lisboa, segundo o disposto na alínea b do n.º 3.1 do anexo IV no caso de o aluno beneficiar do Estatuto do Trabalhador-Estudante não está sujeito ao regime de prescrição, não sendo contabilizada a sua inscrição para efeitos de prescrição no ano letivo usufrua deste Estatuto. De acordo com o n.º 3.14, do referido despacho, os estudantes portadores de deficiência não estão sujeitos ao regime de prescrição.
Para a aplicação do Regime de Prescrição, de acordo com o n.º 3 do artigo 5.º da Lei n.º 38/2020, de 18 de agosto, na redação conferida pelo artigo 5.º da Lei n.º 35/2021, de 8 de junho, os anos letivos de 2019/2020 e 2020/2021 não são considerados para efeitos de contabilização do prazo de prescrição.
Neste enquadramento e considerando que poderá não reunir as condições para se inscrever no próximo ano letivo caso não obtenha do número mínimo de créditos ECTS exigido, vimos pelo presente informar que prescreverá no final do corrente ano letivo, não podendo inscrever-se em 2023/24.
Para os devidos efeitos poderá nos próximos dez dias úteis informar do que lhe aprouver, com apresentação de documentação complementar, através do Portal Académico, em Requisitar de requerimentos – Pedido de reapreciação Prescrição.
Para qualquer esclarecimento adicional, deverá contactar o SGAAE (licenciaturas@isel.pt).”</t>
  </si>
  <si>
    <t>LEB</t>
  </si>
  <si>
    <t>LEC</t>
  </si>
  <si>
    <t>LEE</t>
  </si>
  <si>
    <t>LEETC</t>
  </si>
  <si>
    <t>LEFA</t>
  </si>
  <si>
    <t>LEIC</t>
  </si>
  <si>
    <t>LEIM</t>
  </si>
  <si>
    <t>LEIRT</t>
  </si>
  <si>
    <t>LEM</t>
  </si>
  <si>
    <t>LEQB</t>
  </si>
  <si>
    <t>LMATE</t>
  </si>
  <si>
    <t>LTGM</t>
  </si>
  <si>
    <t>MEB</t>
  </si>
  <si>
    <t>MEC</t>
  </si>
  <si>
    <t>MEQA</t>
  </si>
  <si>
    <t>MEGI</t>
  </si>
  <si>
    <t>MEET</t>
  </si>
  <si>
    <t>MEE</t>
  </si>
  <si>
    <t>MEIC</t>
  </si>
  <si>
    <t>MEIM</t>
  </si>
  <si>
    <t>MEM</t>
  </si>
  <si>
    <t>MEQB</t>
  </si>
  <si>
    <t>MMAI</t>
  </si>
  <si>
    <t>PG-CRC</t>
  </si>
  <si>
    <t>PG-EGER</t>
  </si>
  <si>
    <t>PG-EEF</t>
  </si>
  <si>
    <t>PG-MCD</t>
  </si>
  <si>
    <t>PG-PMIE</t>
  </si>
  <si>
    <t>lic</t>
  </si>
  <si>
    <t>mest</t>
  </si>
  <si>
    <t>pestana</t>
  </si>
  <si>
    <t>claudia</t>
  </si>
  <si>
    <t>Ana</t>
  </si>
  <si>
    <t>Marta</t>
  </si>
  <si>
    <t>Sandra</t>
  </si>
  <si>
    <t>pg</t>
  </si>
  <si>
    <t>inclui - apoio elaboração certidoes antigas</t>
  </si>
  <si>
    <t>a realizar este mês</t>
  </si>
  <si>
    <t>comunicação de juri ao sirc para atualização emails</t>
  </si>
  <si>
    <t>De: Sandra Ferreira 
Enviada: 21 de maio de 2024 15:18
Para: juri.cespeciais.lec &lt;juri.cespeciais.lec@isel.pt&gt;; juri.cespeciais.ltgm &lt;juri.cespeciais.ltgm@isel.pt&gt;; juri.cespeciais.lee &lt;juri.cespeciais.lee@isel.pt&gt;; juri.cespeciais.leetc &lt;juri.cespeciais.leetc@isel.pt&gt;; juri.cespeciais.leic &lt;juri.cespeciais.leic@isel.pt&gt;; juri.cespeciais.leim &lt;juri.cespeciais.leim@isel.pt&gt;; juri.cespeciais.leirt &lt;juri.cespeciais.leirt@isel.pt&gt;; juri.cespeciais.lem &lt;juri.cespeciais.lem@isel.pt&gt;; juri.cespeciais.leb &lt;juri.cespeciais.leb@isel.pt&gt;; juri.cespeciais.leqb &lt;juri.cespeciais.leqb@isel.pt&gt;; juri.cespeciais.lefa &lt;juri.cespeciais.lefa@isel.pt&gt;; juri.cespeciais.lmate &lt;juri.cespeciais.lmate@isel.pt&gt;; juri.mpic.reing.lec &lt;juri.mpic.reing.lec@isel.pt&gt;; juri.mpic.reing.ltgm &lt;juri.mpic.reing.ltgm@isel.pt&gt;; juri.mpic.reing.lee &lt;juri.mpic.reing.lee@isel.pt&gt;; juri.mpic.reing.leetc &lt;juri.mpic.reing.leetc@isel.pt&gt;; juri.mpic.reing.leic &lt;juri.mpic.reing.leic@isel.pt&gt;; juri.mpic.reing.leim &lt;juri.mpic.reing.leim@isel.pt&gt;; juri.mpic.reing.leirt &lt;juri.mpic.reing.leirt@isel.pt&gt;; juri.mpic.reing.lem &lt;juri.mpic.reing.lem@isel.pt&gt;; juri.mpic.reing.leb &lt;juri.mpic.reing.leb@isel.pt&gt;; juri.mpic.reing.leqb &lt;juri.mpic.reing.leqb@isel.pt&gt;; juri.mpic.reing.lefa &lt;juri.mpic.reing.lefa@isel.pt&gt;; juri.mpic.reing.lmate@isel.pt; juri.mest.reing.mec &lt;juri.mest.reing.mec@isel.pt&gt;; juri.mest.reing.mee &lt;juri.mest.reing.mee@isel.pt&gt;; juri.mest.reing.meet &lt;juri.mest.reing.meet@isel.pt&gt;; juri.mest.reing.meic &lt;juri.mest.reing.meic@isel.pt&gt;; juri.mest.reing.meim &lt;juri.mest.reing.meim@isel.pt&gt;; juri.mest.reing.mem &lt;juri.mest.reing.mem@isel.pt&gt;; juri.mest.reing.megi &lt;juri.mest.reing.megi@isel.pt&gt;; juri.mest.reing.meb &lt;juri.mest.reing.meb@isel.pt&gt;; juri.mest.reing.meqa &lt;juri.mest.reing.meqa@isel.pt&gt;; juri.mest.reing.meqb &lt;juri.mest.reing.meqb@isel.pt&gt;; juri.mest.reing.mmai@isel.pt; juri.uci.lec &lt;juri.uci.lec@isel.pt&gt;; juri.uci.ltgm &lt;juri.uci.ltgm@isel.pt&gt;; juri.uci.ucces.mec &lt;juri.uci.ucces.mec@isel.pt&gt;; juri.uci.lee &lt;juri.uci.lee@isel.pt&gt;; juri.uci.ucces.mee &lt;juri.uci.ucces.mee@isel.pt&gt;; juri.uci.leic &lt;juri.uci.leic@isel.pt&gt;; juri.uci.leim &lt;juri.uci.leim@isel.pt&gt;; juri.uci.leirt &lt;juri.uci.leirt@isel.pt&gt;; juri.uci.ucces.meet &lt;juri.uci.ucces.meet@isel.pt&gt;; juri.uci.ucces.meic &lt;juri.uci.ucces.meic@isel.pt&gt;; juri.uci.ucces.meim &lt;juri.uci.ucces.meim@isel.pt&gt;; juri.uci.lem &lt;juri.uci.lem@isel.pt&gt;; juri.uci.ucces.mem &lt;juri.uci.ucces.mem@isel.pt&gt;; juri.uci.ucces.megi &lt;juri.uci.ucces.megi@isel.pt&gt;; juri.uci.leb &lt;juri.uci.leb@isel.pt&gt;; juri.uci.leqb &lt;juri.uci.leqb@isel.pt&gt;; juri.uci.ucces.meb &lt;juri.uci.ucces.meb@isel.pt&gt;; juri.uci.ucces.meqa &lt;juri.uci.ucces.meqa@isel.pt&gt;; juri.uci.ucces.meqb &lt;juri.uci.ucces.meqb@isel.pt&gt;; juri.uci.lefa &lt;juri.uci.lefa@isel.pt&gt;; juri.uci.lmate &lt;juri.uci.lmate@isel.pt&gt;; juri.uci.ucces.mmai@isel.pt; PG Engenharia Ferroviaria &lt;pgengenhariaferroviaria@isel.pt&gt;; coordenador.crc &lt;coordenador.crc@isel.pt&gt;; coordenador egrd &lt;coordenador.egrd@isel.pt&gt;; coordenador.eger &lt;coordenador.eger@isel.pt&gt;; coordenador.pmie &lt;coordenador.pmie@isel.pt&gt;; coordenador.mcd &lt;coordenador.mcd@isel.pt&gt;
Cc: Jaime Puna &lt;jaime.puna@isel.pt&gt;; Cláudia Casaca &lt;claudia.casaca@isel.pt&gt;; Paulo Martins &lt;pauloj.matosmartins@isel.pt&gt;; Armando Cordeiro &lt;armando.cordeiro@isel.pt&gt;; Luís Silva &lt;luis.silva@isel.pt&gt;; Pedro Patrício &lt;pedro.patricio@isel.pt&gt;; Vítor Costa &lt;vitor.costa@isel.pt&gt;; Vicepresidente Pedagogica Qualidade &lt;vicepresidente.pedagogica.qualidade@isel.pt&gt;; Presidente Conselho Cientifico &lt;presidente.cientifico@isel.pt&gt;; Presidente do ISEL &lt;presidente@isel.pt&gt;
Assunto: Documentação de apoio à tramitação dos concursos
Caros(as) membros do júri,
A pedido da Sr.ª Vice-Presidente da Área Pedagógica e Qualidade, professora Cristina Borges junto envio os modelos de edital atualizados a utilizar na tramitação dos concursos de acesso e um documento de apoio com linhas orientadoras.
Os processos submetidos pelos candidatos estarão disponíveis através do portal académico a partir da data de candidatura e o envio do edital e ata para homologação deverá cumprir os prazos definidos na Ordem de Serviço respetiva:
1.            Concurso especial de acesso destinado a maiores de 23 anos (M23): https://www.isel.pt/sites/default/files/Ordens_Servico/2024/OS_04_P_2024_Calendario_M23.pdf 
2.            Concurso especial de acesso para titulares de diploma de especialização tecnológica (DET): https://www.isel.pt/sites/default/files/Ordens_Servico/2024/OS_04_P_2024_Calendario_M23.pdf 
3.            Concurso especial de acesso para titulares de diploma de técnico superior profissional (DTSP): https://www.isel.pt/sites/default/files/Ordens_Servico/2024/OS_04_P_2024_Calendario_M23.pdf 
4.            Concurso de mudança de par instituição/curso: https://www.isel.pt/sites/default/files/Ordens_Servico/2024/OS_06_P_2024_Calendario_MPIC.pdf 
5.            Concurso especial de acesso para titulares de outros cursos superiores (TOCS): https://www.isel.pt/sites/default/files/Ordens_Servico/2024/OS_06_P_2024_Calendario_MPIC.pdf 
6.            Concurso de reingresso: https://www.isel.pt/sites/default/files/Ordens_Servico/2024/OS_07_P_2024_Calendario_Reingressos.pdf 
7.            Concurso de Mestrado: https://www.isel.pt/sites/default/files/Ordens_Servico/2024/OS_05_P_2024_Calendario_Mestrados.pdf 
8.            Concurso a Unidades Curriculares Isoladas e de Ciclos de Estudo Subsequentes: https://www.isel.pt/sites/default/files/Ordens_Servico/2024/OS_08_P_2024_Calendario_UCI_UCCES.pdf
Mais informo que de acordo com informação do senhor presidente do CTC, professor João Alfredo dos Santos, para uma uniformização dos processos, em particular, clarificação dos critérios de admissão e seriação dos diversos concursos locais aplicados pelos júri nomeados por curso, foram indicados como coordenadores de júri para 2024/25:
- Jaime Puna (DEQ) para júris para a seriação de candidatos que ingressam através das modalidades especiais de acesso; 
- Cláudia Casaca (DEM) para júris de seriação dos candidatos a mudança de par instituição/curso; 
- Paulo Martins (DEC) para júris de seriação de candidatos a Mestrados (sem efeito);
- Armando Cordeiro (DEEEA) para júris de seriação de candidatos à frequência de unidades curriculares de ciclos de estudos subsequentes; 
- Luís Silva (DM) para júris de seriação dos candidatos a reingressos; 
- Pedro Patrício (DF) para júris de seriação de candidatos à frequência de unidades curriculares isoladas.
Atenciosamente</t>
  </si>
  <si>
    <t>Em colaboração com o Serviço de Comunicação e Imagem e SREI, divulgação da informação pertinente às inscrições através das redes sociais/ atualização guiões de inscrição calendário atos académcios e informações novos alunos</t>
  </si>
  <si>
    <t>envio de guiões atualizados/ proposta de OS para calendario de atos académicos atualizada(sujeita a aprovação presidente) e informações novos alunos</t>
  </si>
  <si>
    <t>Conforme combinado e à semelhança dos anos anteriores será necessário apoio aos estudantes CNA no processo de inscrição.
A ideia era ter a seguinte distribuição mínima nos dias de CNA:
1.ª fase – (26 a 29 de agosto) apoio presencial e online:
•	10 - 12h e 14 - 16h – 26 e 27 de agosto
•	10h - 12h – 28 de agosto
2.ª fase - (16 a 18 de setembro) apoio presencial e online:
•	10 - 12h e 14 - 16h - 16 de setembro
3.ª fase - (30  de setembro a 2 de outubro) eventual apoio online (apenas se o n.º de vagas justificar):
•	10 – 12h: 30 de setembro
Se concordarem, por favor, depois avança com o pedido formal de apoio à AEISEL e mediante a confirmação do n.º de elementos que participarão na ação o pedido de equipamento técnico.</t>
  </si>
  <si>
    <t>Caro coordenador de curso, professor Nuno Paulo Ferreira Henriques,
A pedido da Vice-Presidente para a Área Pedagógica, Planeamento e Qualidade, a professora Cristina Borges, junto envio o ficheiro relativo às vagas a disponibilizar por UC/turma/turno para inscrição em 2024/25.
O pré-preenchimento do ficheiro foi realizado com alguns dados de 2023/24 para vossa consideração.
Solicitamos a devolução do ficheiro em anexo com as colunas MAX_INICIAL (obrigatório), MAX_FINAL, VAGAS_CNA preenchidas (sempre que aplicável):
- A coluna MAX_INICIAL (J) deve ser preenchida com as vagas pretendidas para a UC/turma/turno;
- A coluna MAX_FINAL (K) deve ser preenchida se pretenderem associar incrementos às vagas iniciais indicadas na coluna MAX_INICIAL, com um valor superior a este; 
- A coluna VAGAS_CNA (L) deve ser preenchida apenas para as UC de licenciatura 1.º ano com as vagas reservadas para o CNA (número igual de vagas por todas as UC, numa mesma turma).
Os incrementos só são aplicados após preenchimento das vagas em todas as turmas/turnos da mesma UC no mesmo “regime” (D ou N). Na coluna MAX_FINAL deve ser indicado o valor máximo final após incrementos.
A coluna SEM_LIMITE (I) assinala, à semelhança do semestre passado, os turnos/turmas a serem considerados sem limite, uma vez que as UCs são obrigatórias (para cada UC obrigatória deverá existir pelo menos uma turma/turno sem limite).
Este ficheiro deverá ser devolvido até dia 22 de julho, para permitir a incorporação dos dados no sistema académico atempadamente para a inscrição dos estudantes.
Notas: Os ficheiros foram gerados com base nas UCs/turma/turno extraídas da base de dados da Bullet e têm em consideração os seguintes aspetos:
- Uma UC deveria ter nas várias turmas/turnos tipologias de aula e carga horária por tipologias idênticas; a tipologia mais prática deveria ter um número de turnos igual ou superior às restantes tipologias, alguns destes erros foram identificados como observação na coluna STATUS, para vosso conhecimento (sempre que a tipologia de inscrição difere de turma/turno, será considerada a tipologia mais restritiva – erro assinalado a vermelho);
- As UCs optativas a serem oferecidas para inscrição são as que constam na lista aprovada pelo CTC, rececionada pelo SGAAE e as UCs oferecidas fora do semestre de referência são as constam que no Despacho para o ano letivo 2024/25  – as unidades que não constam nas listas aprovadas estão identificadas na coluna STATUS;
- As aulas criadas sem turma, sem UC ou sem docente não serão inseridas no sistema académico por falta de dados.</t>
  </si>
  <si>
    <t>From: Sandra Ferreira &lt;sandra.ferreira@isel.pt&gt; 
Sent: 5 de julho de 2024 17:09
To: Maria Idália Gomes &lt;idalia.gomes@isel.pt&gt;; Carlos Meneses &lt;carlos.meneses@isel.pt&gt;; Artur Ferreira &lt;artur.ferreira@isel.pt&gt;; António Teófilo &lt;antonio.teofilo@isel.pt&gt;; Miguel Chaves &lt;miguel.chaves@isel.pt&gt;; Nuno Henriques &lt;nuno.henriques@isel.pt&gt;; Jaime Puna &lt;jaime.puna@isel.pt&gt;; Pedro Vieira &lt;pedro.vieira@isel.pt&gt;; Sandra Aleixo &lt;sandra.aleixo@isel.pt&gt;; Paulo Martins &lt;pauloj.matosmartins@isel.pt&gt;; Cecília Calado &lt;cecilia.calado@isel.pt&gt;; Pedro Patrício &lt;pedro.patricio@isel.pt&gt;; Pedro Silva &lt;pedro.msilva@isel.pt&gt;; Nuno Datia &lt;nuno.datia@isel.pt&gt;; Paula Louro &lt;paula.louro@isel.pt&gt;; Rui Jesus &lt;rui.jesus@isel.pt&gt;; Luís Redondo &lt;luis.redondo@isel.pt&gt;; Mário Mendes &lt;mario.mendes@isel.pt&gt;; José Coelho &lt;jose.coelho@isel.pt&gt;; Isabel João &lt;isabel.joao@isel.pt&gt;; António Abreu &lt;antonio.abreu@isel.pt&gt;; Luís Silva &lt;luis.silva@isel.pt&gt;; Miguel Minhalma &lt;miguel.minhalma@isel.pt&gt;
Cc: Presidente do ISEL &lt;presidente@isel.pt&gt;; Vicepresidente Pedagogica Qualidade &lt;vicepresidente.pedagogica.qualidade@isel.pt&gt;; Presidente Conselho Cientifico &lt;presidente.cientifico@isel.pt&gt;; Presidente Conselho Pedagogico &lt;presidente.pedagogico@isel.pt&gt;
Subject: Atualização: Horários 2024/25: preparação para as inscrições de 1.º e 2.º semestre 24/25
Caros Coordenadores de Curso,
Na sequência do email anterior junto envio ficheiros atualizados para apoio à validação dos horários parametrizados por vós na Bullet (dados de 5-7-2024 - 17h00).
Informo que foram introduzidas ainda as seguintes colunas adicionais para verificação do cumprimento do regulamento vigente:
•	Rest_horas_doc_dia - restrição do nº de horas de um docente num dia (6h)
•	Rest_horas_doc_consec - restrição do nº de horas consecutivas de docente (5h)
•	Rest_horas_turma_consec - restrição do nº de horas consecutivas da turma em UC obrigatórias (6h)
•	Sobrep_sala_profDist - que contém as sobreposições em sala e horário e com professores distintos.
Atenciosamente
Sandra Neves
Serviço de Gestão Académica e Apoio ao Estudante
Dirigente Intermédio
phone: (351) 218317000
email: sandra.ferreira@isel.pt     
Rua Conselheiro Emídio Navarro, 1
1959-007 Lisboa, Portugal
www.isel.pt
De: Sandra Ferreira 
Enviada: 3 de julho de 2024 17:26
Para: Maria Idália Gomes &lt;idalia.gomes@isel.pt&gt;; Carlos Meneses &lt;carlos.meneses@isel.pt&gt;; Artur Ferreira &lt;artur.ferreira@isel.pt&gt;; António Teófilo &lt;antonio.teofilo@isel.pt&gt;; Miguel Chaves &lt;miguel.chaves@isel.pt&gt;; Nuno Henriques &lt;nuno.henriques@isel.pt&gt;; Jaime Puna &lt;jaime.puna@isel.pt&gt;; Pedro Vieira &lt;pedro.vieira@isel.pt&gt;; Sandra Aleixo &lt;sandra.aleixo@isel.pt&gt;; Paulo Martins &lt;pauloj.matosmartins@isel.pt&gt;; Cecília Calado &lt;cecilia.calado@isel.pt&gt;; Pedro Patrício &lt;pedro.patricio@isel.pt&gt;; Pedro Silva &lt;pedro.msilva@isel.pt&gt;; Nuno Datia &lt;nuno.datia@isel.pt&gt;; Paula Louro &lt;paula.louro@isel.pt&gt;; Rui Jesus &lt;rui.jesus@isel.pt&gt;; Luís Redondo &lt;luis.redondo@isel.pt&gt;; Mário Mendes &lt;mario.mendes@isel.pt&gt;; José Coelho &lt;jose.coelho@isel.pt&gt;; Isabel João &lt;isabel.joao@isel.pt&gt;; António Abreu &lt;antonio.abreu@isel.pt&gt;; Luís Silva &lt;luis.silva@isel.pt&gt;; Miguel Minhalma &lt;miguel.minhalma@isel.pt&gt;
Cc: Presidente do ISEL &lt;presidente@isel.pt&gt;; Vicepresidente Pedagogica Qualidade &lt;vicepresidente.pedagogica.qualidade@isel.pt&gt;; Presidente Conselho Cientifico &lt;presidente.cientifico@isel.pt&gt;; Presidente Conselho Pedagogico &lt;presidente.pedagogico@isel.pt&gt;
Assunto: Horários 2024/25: preparação para as inscrições de 1.º e 2.º semestre 24/25
Caros Coordenadores de Curso,
A pedido da Vice-presidente para a área pedagógica, planeamento e qualidade, professora Cristina Borges, junto envio ficheiros de apoio à validação dos horários parametrizados por vós na Bullet (dados de 3-7-2024 - 17h20).
As colunas iniciais dos ficheiros identificam os eventos (colunas A a AG).
A análise dos dados inseridos revelou alguns possíveis erros indicados na coluna AH:
- Erro_sem_uc (coluna AI) – o evento não tem código de UC associado: estas entradas não serão consideradas válidas e não podem ser importadas para o sistema académico, pelo que deverão eliminar o evento ou efetuar a correção pretendida;
- Erro_tipologia (coluna AJ) – o evento não tem tipologia de aula ou tem várias tipologias associadas: Conforme indicação anterior as tipologias de aula devem ser idênticas para todas as turmas/turnos de uma mesma UC e cada evento deverá ter preferencialmente uma única tipologia associada.
- Erro_sem_turma (coluna Ak) - o evento não tem turma associada: estas entradas não serão consideradas válidas e não podem ser importadas para o sistema académico, pelo que deverão ou eliminar o evento ou efetuar a correção pretendida;
- Erro_sem_prof (coluna AL) - o evento não tem docente associado: estas entradas não serão consideradas válidas e não podem ser importadas para o sistema académico, pelo que deverão ou eliminar o evento ou efetuar a correção pretendida (caso seja um docente a aguardar contratação, podem adicionar o coordenador de curso e enviar depois o pedido de alteração para o PSH;
- Erro_nao_valida_pe (coluna AN) – o código da UC indicada não corresponde ao inserido em sistema académico: estas entradas não serão consideradas válidas e não podem ser importadas para o sistema académico, pelo que deverão ou eliminar o evento ou efetuar a correção pretendida;
- Erro_uc_opt_n_aprov (coluna AO) – a UC indicada não consta da lista das UC aprovadas em CTC: estas entradas não serão consideradas válidas e não podem ser importadas para o sistema académico, pelo que deverão ou eliminar o evento ou efetuar a correção pretendida;
- Erro_tipol_mais restrita (coluna AP) – o evento não tem  a tipologia de aula mais restrita: Conforme indicação anterior as tipologias de aula devem ser idênticas para todas as turmas/turnos de uma mesma UC.
As colunas seguintes revelam sobreposições de eventos.
Agradeço a vossa colaboração na retificação dos erros identificados até dia 7 de julho.
Atenciosamente
Sandra Neves
Serviço de Gestão Académica e Apoio ao Estudante
Dirigente Intermédio
phone: (351) 218317000
email: sandra.ferreira@isel.pt     
Rua Conselheiro Emídio Navarro, 1
1959-007 Lisboa, Portugal
www.isel.pt</t>
  </si>
  <si>
    <t>parametrização PG realizada - necessário alterar para os CE após 20 de julho antes de 26 de julho (excluir PG e incluir Lic e mestrados) assinalr gerar fatura</t>
  </si>
  <si>
    <t>De: Mestrados ISEL &lt;mestrados@isel.pt&gt; 
Enviada: 1 de julho de 2024 17:54
Para: Serviço de Informática e Redes de Comunicação &lt;informatica@isel.pt&gt;
Cc: Sandra Ferreira &lt;sandra.ferreira@isel.pt&gt;
Assunto: credencias Moodle
Boa tarde Colegas,
Enviamos em anexo listagem para emissão e envio de credenciais de acesso às plataformas digitais do ISEL, aos novos alunos. Na listagem também inclui alguns alunos muito antigos, anteriores ao ano letivo 2015/16, que são fáceis de identificar pelo n.º de aluno.</t>
  </si>
  <si>
    <t>em curso</t>
  </si>
  <si>
    <t>ações</t>
  </si>
  <si>
    <t xml:space="preserve">falta horas de contacto por tipologia em UC novas (falta de informação do CTC) </t>
  </si>
  <si>
    <t xml:space="preserve">SGAAE.PO.01.01  </t>
  </si>
  <si>
    <t>REQUERIMENTOS GERAIS</t>
  </si>
  <si>
    <t>Lista Gaq 21_04_2022</t>
  </si>
  <si>
    <t>Enviado A Vp 22-02-2024</t>
  </si>
  <si>
    <t>Presidente 05-03-2024</t>
  </si>
  <si>
    <t>atualizar e reenviar -maio 2024</t>
  </si>
  <si>
    <t>SGAAE.PO.02.01</t>
  </si>
  <si>
    <t xml:space="preserve">CERTIDÕES  </t>
  </si>
  <si>
    <t>Lista Gaq 21_04_2022 Enviado A 30_6_2022</t>
  </si>
  <si>
    <t>atualizar e enviar -maio 2024</t>
  </si>
  <si>
    <t>SGAAE.PO.03.01</t>
  </si>
  <si>
    <t>DIPLOMA/CARTA DE CURSO</t>
  </si>
  <si>
    <t>atualizar e enviar -ate dez 2024 (suspenso devido a alteração em maio do suplemento ao diploma)</t>
  </si>
  <si>
    <t>SGAAE.PO.04.01</t>
  </si>
  <si>
    <t>PLANO DE ESTUDO E DE CREDITAÇÕES</t>
  </si>
  <si>
    <t>atualizar e reenviar - maio 2024</t>
  </si>
  <si>
    <t xml:space="preserve">SGAAE.PO.05.01 </t>
  </si>
  <si>
    <t>MATRÍCULAS E INSCRIÇÕES LISTA</t>
  </si>
  <si>
    <t>Gaq 21_04_2022 Enviado A 30_6_2022</t>
  </si>
  <si>
    <t>Enviado A 1-3-2024</t>
  </si>
  <si>
    <t>aprovado 17-5-2024</t>
  </si>
  <si>
    <t xml:space="preserve">SGAAE.PO.06.01 </t>
  </si>
  <si>
    <t>TRAMITAÇÃO DO TRABALHO FINAL DE MESTRADO</t>
  </si>
  <si>
    <t>SGAAE.PO.07.01</t>
  </si>
  <si>
    <t>REGULARIZAÇÃO DE DÍVIDAS POR PROPINAS (COMUM TESOURARIA)</t>
  </si>
  <si>
    <t>suspenso validar com po da tesouraria - altera para it?</t>
  </si>
  <si>
    <t xml:space="preserve">SGAAE.PO.08.01 </t>
  </si>
  <si>
    <t>CANDIDATURAS</t>
  </si>
  <si>
    <t>Lista Enviada Ao Gaq A 21_04_2022 Enviado A 30_6_2022</t>
  </si>
  <si>
    <t>Enviado A 29-02-2024</t>
  </si>
  <si>
    <t xml:space="preserve">SGAAE.PO.09.01 </t>
  </si>
  <si>
    <t>MARCAÇÃO DE SALAS PARA PROVAS ESCRITAS</t>
  </si>
  <si>
    <t>Presidente 5-3-2024</t>
  </si>
  <si>
    <t xml:space="preserve">SGAAE.PO.10.01 </t>
  </si>
  <si>
    <t>BOLSEIROS SERVIÇOS DE AÇÃO SOCIAL</t>
  </si>
  <si>
    <t>Lista Gaq 21_04_2022:</t>
  </si>
  <si>
    <t>atualizar e enviar -ate dez 2024</t>
  </si>
  <si>
    <t xml:space="preserve">SGAAE.PO.11.01 </t>
  </si>
  <si>
    <t>TRAMITAÇÃO DOS DADOS RELATIVOS A CANDIDATOS A BOLSAS DE MÉRITO</t>
  </si>
  <si>
    <t xml:space="preserve">SGAAE.PO.12.01 </t>
  </si>
  <si>
    <t>ATENDIMENTO GERAL</t>
  </si>
  <si>
    <t>SGAAE.PO.13.01</t>
  </si>
  <si>
    <t>LANÇAMENTO DE NOTAS</t>
  </si>
  <si>
    <t>A Elaborar</t>
  </si>
  <si>
    <t>SGAAE.PO.14.01</t>
  </si>
  <si>
    <t>SUMÁRIOS</t>
  </si>
  <si>
    <t>SGAAE.PO.15.01</t>
  </si>
  <si>
    <t>FUC</t>
  </si>
  <si>
    <t>Envio A Vp 1-3-2024 Como Po 15</t>
  </si>
  <si>
    <t xml:space="preserve">SGAAE.PO.16.01 </t>
  </si>
  <si>
    <t>PEDIDO DE REDUÇÃO DE PROPINAS (MONITOR)</t>
  </si>
  <si>
    <t>(Comum Tesouraria)</t>
  </si>
  <si>
    <t>a elaborar (2025)</t>
  </si>
  <si>
    <t xml:space="preserve">SGAAE.PO.17.01 </t>
  </si>
  <si>
    <t>ELABORAÇÃO DE LISTAGENS PARA ELEIÇÕES</t>
  </si>
  <si>
    <t>NOTIFICAÇÃO DE ESTUDANTES COM MATRÍCULA/INSCRIÇÃO SEM PAGAMENTOS ASSOCIADOS</t>
  </si>
  <si>
    <t xml:space="preserve">(Consta Da Lista Enviada Ao Gaq A 21_04_2022) </t>
  </si>
  <si>
    <t xml:space="preserve">(Passou Para It) Po.14.01 </t>
  </si>
  <si>
    <t xml:space="preserve">INSCRIÇÃO A ÉPOCA ESPECIAL E MELHORIA DE NOTA (PASSA PARA IT) </t>
  </si>
  <si>
    <t>- LISTA DE UCS COM AVALIAÇÃO DISTRIBUIDA</t>
  </si>
  <si>
    <t xml:space="preserve">(Passou Para It) Po.13.01 </t>
  </si>
  <si>
    <t xml:space="preserve">por fazer </t>
  </si>
  <si>
    <t xml:space="preserve">feito </t>
  </si>
  <si>
    <t>R12 – envio até 2 de março
“ Caros Coordenadores de Curso,
Venho por este meio apresentar algumas informações de calendarização importantes para que a parametrização dos dados necessários ocorra antes do ato das inscrições no próximo ano letivo e de acordo com as vossas propostas. Essas informações referem-se a:
1. RUC e UC optativas;
2. Precedências e UC fora do semestre de referência;
3. Horários parametrizados na Bullet;
4. Ficheiro dos máximos por UC/turma/turno;
5. Informação sobre o encerramento de unidades curriculares optativas;
6. Fichas de Unidade Curricular – FUC.
Por favor, apresentem esta informação tendo em conta o procedimento seguinte:
•	RUC e UC optativas
Para a preparação do início do ano letivo 2025/26, foram elaborados alguns ficheiros (envio aos Coordenadores de Curso em Gestão Documental – GD, até 8 de abril – sujeito a confirmação PISEL formação em GD CC) com a compilação dos dados de 2024/25, para vos apoiar a enviar a informação adequada para 2025/26:
• Lista de unidades curriculares: código e nome da UC, ECTS, ano curricular, semestre (1S, 2S), grupo de opção (nome ou null), área científica (Excel UC Opt), código e nome completo de RUC, encerramento de optativa. 
Estas folhas de Excel de referência que se enviam em anexo relativas a 2024/25, se pretenderem propor alterações, devem ser utilizadas para 2025/26, atualizando os dados:
- Alteração de RUC, na coluna L, é efetuada por correção do n.º de docente;
- Unidade curricular optativa a não oferecer em 2025/26 – adicionar na coluna N , o grupo de opção em que não irá ser oferecida;
- Unidade curricular optativa nova – adicionar linha e preencher todos os campos à exceção da coluna A.
A proposta deve ser enviada para aprovação do CTC até 20 de maio, caso não seja rececionada a informação até essa data serão aprovados os ficheiros sem alteração para 2025/26. 
Nota: O objetivo seria que esta informação passasse a ser dada neste formato, de modo a sistematizar e facilitar o processo.
•	Precedências 
Complementarmente, a parametrização no sistema académico para o correto funcionamento das inscrições exige que sejam introduzidas as UC que tenham precedência associada. Existindo alguma alteração nestas UC, a mesma deve ser apresentada aos órgãos para aprovação, caso contrário serão mantidas as unidades curriculares com precedência aprovada para 2024/25.
Todas as propostas relativas ao funcionamento da UC excecionais ao publicado em DR para 2025/26 devem ser apresentadas pelos cursos que o entenderam fazer ao CP/presidente do ISEL, através de GD, até 20 de maio.
•	Horários parametrizados na Bullet
Ainda com objetivo de parametrizar adequadamente o próximo ano letivo, os horários, elaborados de acordo com a DSD aprovada pelo CTC, devem estar inseridos na Bullet até 2 de junho, com as turmas/turnos respetivos para cada UC/docente. Estes horários serão os utilizados para o envio dos ficheiros de máximos. 
Observação: 
- Nos horários não devem ser criadas aulas de UC que não tenham docente atribuído com nº mecanográfico válido. Sempre que esteja a decorrer um processo de contratação de novo docente, devem atribuir no horário a aula ao coordenador de curso (que não deverá criar/lançar qualquer sumário sessa UC), para ser possível a sua alteração posterior em sistema. Caso exista alguma contratação de docentes ao abrigo de protocolo, os dados de identificação dos mesmos devem ser indicados ao SGAAE para criação de ficha como docente externo.
- As tipologias de aula devem ser idênticas para todas as turmas/turnos de uma mesma UC, devem estar de acordo com as tipologias aprovadas em DR e cada aula deverá ter uma tipologia única.
- Caso exista uma turma base com vários turnos associados, quando uma UC/aula contem as aulas de todos os turnos deve ser indicada apenas a turma base, só deve ser utilizado o conceito de turno quando existem manchas horárias distintas. 
Após validação da coerência dos dados apenas serão permitidos ajustes de manchas horárias até 1 de julho. 
A divulgação dos horários é efetuada até 14 de julho, conforme calendário académico aprovado.
•	Ficheiro dos máximos por UC/turma/turno.
Após a validação de todos os dados anteriormente referidos, serão criados pelo SGAAE e enviados aos Coordenadores de Curso os ficheiros para indicação dos máximos por UC/turma/turno. A devolução desses ficheiros pelos Coordenadores de Curso ao SGAAE deverá ocorrer até 6 de junho.
Observação: O preenchimento/validação destes ficheiros deve ser efetuado tendo em consideração que para uma unidade curricular obrigatória tem de existir pelo menos uma turma/ turno sem limite de vagas.
•	Fichas de Unidade Curricular.
A disponibilização das fichas de unidade curricular para 2025/26, através do portal académico, para edição pelos RUC, só é possível após criação de turmas/turnos em sistema, ou seja, está condicionada à data de receção dos ficheiros dos máximos e sua inserção em sistema. 
O SGAAE irá proceder à cópia de todas as FUC de 2024/25 publicadas, para 2025/26, previsivelmente, a 9 de junho. O RUC deverá efetuar a edição e finalização da FUC, para validação pelo Coordenador de Curso. 
As FUC novas deverão estar validadas no portal académico para aprovação pelo CTC e ao CP até 23 de junho. O SGAAE procederá à publicação das FUC após receção da data de aprovação dos órgãos.
•	Ficheiro das UC optativas sem mínimos.
Após a validação de todos os dados anteriormente referidos, serão criados pelo SGAAE e enviados aos Coordenadores de Curso os ficheiros para indicação das UC optativas que não atingiram o valor mínimo de inscrições, para validação de um eventual encerramento ou ajuste de vagas. A devolução desses ficheiros pelos Coordenadores de Curso ao SGAAE deverá ocorrer até 5 de setembro.
Observação: o período de inscrições a unidades curriculares é a 29 de agosto e de 1 a 4 de setembro e de retificação é 9 e 10 de setembro.
Obrigada
Cumprimentos</t>
  </si>
  <si>
    <t>Boa tarde Xana,
De acordo com o n.º 6 do artigo 26.º do RPAC, Não é permitido o acesso a época especial a uma UC cuja avaliação seja realizada por avaliação distribuída sem exame final.
Para que sejam invalidadas todas as inscrições irregulares em época especial às unidades curriculares nesta condição, solicita-se o envio da listagem das mesmas, preferencialmente, até dia 2 de junho.</t>
  </si>
  <si>
    <t>Boa tarde Susana,
Conforme procedimento habitual, segue o email infra relativo às inscrições para prepararem a listagem das UCs disponíveis em mobilidade, preferencialmente, até dia 2 de junho.
Em anexo, segue o ficheiro com as do ano transato para validação.</t>
  </si>
  <si>
    <t>receção de aprovação até 2 de março</t>
  </si>
  <si>
    <t>envio email 1  até 2 de março</t>
  </si>
  <si>
    <t>UC optativas e ruc até 20 maio</t>
  </si>
  <si>
    <t xml:space="preserve"> elaboração horários previstos até 2 de junho/definitivos 1 de julho/ receção dos ficheiros até 6 de junho</t>
  </si>
  <si>
    <t>divulgação de horário 15 de julho</t>
  </si>
  <si>
    <t>De: Vicepresidente Pedagogica Qualidade &lt;vicepresidente.pedagogica.qualidade@isel.pt&gt; 
Enviada: 11 de abril de 2024 16:13
Para: Presidente Conselho Cientifico &lt;presidente.cientifico@isel.pt&gt;
Cc: Maria Conde &lt;maria.carmo.conde@isel.pt&gt;; Paulo Martins &lt;pauloj.matosmartins@isel.pt&gt;; Pedro Silva &lt;pedro.msilva@isel.pt&gt;; Miguel Chaves &lt;miguel.chaves@isel.pt&gt;; Luís Redondo &lt;luis.redondo@isel.pt&gt;; Artur Ferreira &lt;artur.ferreira@isel.pt&gt;; Carlos Meneses &lt;carlos.meneses@isel.pt&gt;; Pedro Jorge &lt;pedro.mendes.jorge@isel.pt&gt;; Pedro Vieira &lt;pedro.vieira@isel.pt&gt;; Rui Jesus &lt;rui.jesus@isel.pt&gt;; Nuno Datia &lt;nuno.datia@isel.pt&gt;; Paula Louro &lt;paula.louro@isel.pt&gt;; Sandra Aleixo &lt;sandra.aleixo@isel.pt&gt;; Luís Silva &lt;luis.silva@isel.pt&gt;; Pedro Patrício &lt;pedro.patricio@isel.pt&gt;; Jaime Puna &lt;jaime.puna@isel.pt&gt;; José Coelho &lt;jose.coelho@isel.pt&gt;; Isabel João &lt;isabel.joao@isel.pt&gt;; Miguel Minhalma &lt;miguel.minhalma@isel.pt&gt;; Cecília Calado &lt;cecilia.calado@isel.pt&gt;; Nuno Henriques &lt;nuno.henriques@isel.pt&gt;; Mário Mendes &lt;mario.mendes@isel.pt&gt;; António Abreu &lt;antonio.abreu@isel.pt&gt;; M Dulce Franco Henriques &lt;dulce.henriques@isel.pt&gt;; Filipe Barata &lt;filipe.barata@isel.pt&gt;; João Lagarto &lt;joao.lagarto@isel.pt&gt;; Alexandra Costa &lt;alexandra.ccosta@isel.pt&gt;; Ana Martins &lt;ana.martins@isel.pt&gt;; Maria Baptista &lt;maria.ana.baptista@isel.pt&gt;; Secretariado da Presidencia &lt;secretariadopresidencia@isel.pt&gt;; Presidente do ISEL &lt;presidente@isel.pt&gt;; Ricardo Felipe &lt;ricardo.felipe@isel.pt&gt;; Serviço de Gestão de Recursos Humanos &lt;rhumanos@isel.pt&gt;
Assunto: Docentes Externos e novos docentes para o ano letivo 24_25 
Boa tarde João Santos
1.	De acordo com o calendário escolar aprovado para o próximo ano letivo, para que seja efetuada a parametrização atempada dos docentes externos (ao abrigo de protocolos), a lecionar em 25_26, em sistema académico, solicito o envio da identificação dos mesmos (nome, n.º do cartão de cidadão, data de nascimento, categoria, data de início de funções, email de UO do IPL, departamento/curso), preferencialmente, até dia 2 de junho, para o SGAAE com o meu conhecimento.
2.	De acordo com o calendário escolar aprovado para o próximo ano letivo, para que seja efetuada a parametrização atempada dos docentes em sistema académico, solicita-se sempre que possível, que a comunicação de novos docentes a lecionar no próximo ano letivo e a cessação de funções de docentes seja efetuada, preferencialmente, até dia 2 de junho.</t>
  </si>
  <si>
    <t>Pedido até  2 de março</t>
  </si>
  <si>
    <t>Pedido até 2 de março</t>
  </si>
  <si>
    <t>rececção de aprovação até 1 de junho</t>
  </si>
  <si>
    <t xml:space="preserve"> até 1 de junho</t>
  </si>
  <si>
    <t>UC precedencia e fora de semestre até 20 maio aos orgaos até 1 junho para SGAAE</t>
  </si>
  <si>
    <t>De: Vicepresidente Pedagogica Qualidade &lt;vicepresidente.pedagogica.qualidade@isel.pt&gt; 
Enviada: 11 de abril de 2024 16:16
Para: Serviço de Avaliação Qualidade e Planeamento &lt;qualidade@isel.pt&gt;
Cc: Sandra Ferreira &lt;sandra.ferreira@isel.pt&gt;
Assunto: Pós-graduações e novos planos de estudos
Boa tarde 
De acordo com o calendário escolar aprovado para o próximo ano letivo, para que seja efetuada a parametrização atempada das Pós-graduações e novos planos de estudos, em sistema académico, solicito o envio da autorização da proposta das mesmas (incluindo, RUC devidamente aprovados),  para o SGAEE com o meu cc, preferencialmente, até dia 2 de junho.
Obrigada
Cumprimentos
Cristina Borges Azevedo
VICE-PRESIDENTE
Área Pedagógica e Qualidade 
phone: (351) 218317000
email: cristina.borges@isel.pt   
Rua Conselheiro Emídio Navarro, 1
1959-007 Lisboa, Portugal
www.isel.pt</t>
  </si>
  <si>
    <t>texto do S12</t>
  </si>
  <si>
    <t>feito 24/25 por fazer 25/26</t>
  </si>
  <si>
    <t>Exmos. Srs. Coordenadores de Curso 
Para a atualização de acordo com o novo modelo da A3ES/validação das FUC no Portal Académico do corrente ano letivo, solicita-se, que até dia 31 de março, que seja implementado o seguinte procedimento de preenchimento das mesmas:
      Para os  RUCS
            Em https://portal.ipl.pt/isel/netpa/page?stage=difhomestage:
            Selecionar o  menu "Atividades Lectivas", neste selecionar "Ficha Unidade Curricular"
                 No painel "Ficha de unidade curricular" , selecionar ano letivo 2024-25
      Em unidade curricular inserir o código da UC e escolher a UC pretendida, clicar em pesquisar: 
		Para FUC com modelo antigo publicado 18-23, selecionar modelo novo 18-24, editar os campos 13 e 14 e verificar os restantes campos.
      		Para FUC novas, selecionar modelo novo 18-24, clicar em criar, verificar os campos dinâmicos 1 e 2 (pré-preenchidos pelos dados que constam no SIGES) e editar os campos estáticos 4, 5, 6, 7, 8 e 9. Depois de concluído clicar em "finalizar" e a FUC será visível para o coordenador de curso para validação com as observações pretendidas.
Nota: Caso exista necessidade de atualização de algum campo dinâmico, comunica ao CC. Na edição, deverá ser utilizado sempre o mesmo formato de letra (Times New Roman 10). Após edição, deverá aceder ao menu de pré-visualização para verificar se toda a informação ficou gravada adequadamente. A utilização de carateres especiais em cópia e colagem de texto do Word ou Excel pode não corresponder ao pretendido na criação do PDF. Nesses casos, deve editar os mesmos diretamente no campo de edição do portal académico.
      Para os Coordenadores de Curso
            Em https://portal.ipl.pt/isel/netpa/page?stage=difhomestage:
            Selecionar o  menu "Atividades Lectivas",
                   Valida as FUC novas ou atualizadas e comunica ao CP
      Para o Conselho Pedagógico
                Se não existirem alterações a efetuar - Aprova e comunica ao CTC e ao SGAAE;
                Se existirem alterações a efetuar – Comunica ao Coordenador de Curso
Para o Conselho Técnico-Científico
Se não existirem alterações a efetuar - Aprova e comunica ao SGAAE;
Se existirem alterações a efetuar - Comunica ao Coordenador de Curso  e ao CP.
SGAAE/SCI
                               Insere as datas de aprovação de CP e CTC e publica</t>
  </si>
  <si>
    <r>
      <t xml:space="preserve">Boa tarde colegas,
Por favor, informem o IPL que, previsivelmente, teremos um fluxo elevado de acessos ao portal devido às matrículas e inscrições nas seguintes datas:
</t>
    </r>
    <r>
      <rPr>
        <sz val="10"/>
        <color rgb="FFFF0000"/>
        <rFont val="Calibri"/>
        <family val="2"/>
      </rPr>
      <t xml:space="preserve">- Matrículas 26 a 30 de julho e 19 a 21 de agosto de 2024  </t>
    </r>
    <r>
      <rPr>
        <sz val="10"/>
        <color theme="1"/>
        <rFont val="Calibri"/>
        <family val="2"/>
      </rPr>
      <t xml:space="preserve">
-</t>
    </r>
    <r>
      <rPr>
        <sz val="10"/>
        <color rgb="FFFF0000"/>
        <rFont val="Calibri"/>
        <family val="2"/>
      </rPr>
      <t xml:space="preserve"> Matrícula/Inscrição para estudantes colocados pelo CNA 1.ª fase de 26 a 29 de agosto de 2024 
</t>
    </r>
    <r>
      <rPr>
        <sz val="10"/>
        <color theme="1"/>
        <rFont val="Calibri"/>
        <family val="2"/>
      </rPr>
      <t>-</t>
    </r>
    <r>
      <rPr>
        <sz val="10"/>
        <color rgb="FFFF0000"/>
        <rFont val="Calibri"/>
        <family val="2"/>
      </rPr>
      <t xml:space="preserve"> Inscrições a unidades curriculares dias  30 de agosto, 2 a 4 de setembro de 2024 das 10:00 horas às 18:30 horas. As inscrições neste período estarão fracionadas por blocos de alunos para reduzir os acessos.
- Matrícula/Inscrição para estudantes colocados pelo CNA 2.ª fase de 16 a 18 de setembro de 2024
- Retificações das inscrições de 09 e 10 de setembro de 2024.
</t>
    </r>
  </si>
  <si>
    <t>De: Vicepresidente Pedagogica Qualidade &lt;vicepresidente.pedagogica.qualidade@isel.pt&gt; 
Enviada: 4 de fevereiro de 2025 14:41
Para: ISEL Alunos &lt;alunos@isel.pt&gt;
Assunto: Informação sobre inscrição em época especial
Importância: Alta
Caro(a) estudante,
No ano letivo em curso, a inscrição em exames em época especial será efetuada através do portal académico pelo próprio estudante. Não são aceites pedidos por email.
O acesso à época especial tem regras específicas. Antes de iniciar a sua inscrição verifique se reúne as condições para tal, uma vez que a inscrição está disponível apenas para os estudantes finalistas e os abrangidos por legislação especial (ver Cap.II, artº15 do Manual do Académico do IPL em anexo). Apenas os estudantes com este enquadramento  podem proceder à inscrição em época especial e qualquer pedido de estatuto deverá ter sido efetuado previamente através do portal académico na opção requisição de requerimentos.
O pedido de estatuto de acordo com a legislação em vigor, deverá ser apresentado para que o Estatuto vigore durante o período letivo seguinte até ao último dia anterior ao do início das atividades do referido período. Não serão aceites pedidos de estatuto fora de prazo, durante o período de inscrição à época especial.
O limite máximo de inscrição é definido de acordo com os regulamentos em vigor (ver artº 26 do RPAC e Anexo IV do Manual académico do IPL, ambos em anexo).
As unidades curriculares selecionadas deverão ter inscrição prévia no semestre correspondente.
O período para a formalização da inscrição em unidades curriculares de 1.º semestre é de 03-02-2024 às 10h até no máximo 48 h antes do início do exame de época especial. Verifique através do portal académico que a nota de época de recurso está lançada uma vez que não é possível a inscrição antes do lançamento da nota. 
De acordo com n.º 6 do artigo 26.º do Despacho n.º 8077/2023, de 7 de agosto, não é permitido o acesso a época especial a uma UC cuja avaliação seja realizada por avaliação distribuída sem exame final.
Para proceder à inscrição deverá entrar na sua área no portal académico do ISEL (https://portal.ipl.pt/isel/netpa/ ).
•    Após a autenticação (login,) selecionar “Inscrição Exames” (caso essa opção não esteja visível deverá verificar a sua situação financeira, para retornar à página inicial clicar em “Home”(ícone casa)).
•  Na página “CONSULTA DE INSCRIÇÕES A ÉPOCAS” clicar em “INSCREVER A EXAMES”.
•  Na página “INSCRIÇÃO ÉPOCA/DISCIPLINAS” selecionar as unidades em que se pretende inscrever e clicar em “GRAVAR”.
•   Na janela “Inscrição épocas Exame” verificar a sua escolha e clicar em “Ok” para concluir o processo.
•   Para confirmar as suas inscrições selecionar o tab “Definitivas” (página de “CONSULTA DE INSCRIÇÕES A ÉPOCAS”).
Salienta-se que de acordo com o Despacho n.º 11215/2024, de 24 de setembro, a inscrição em exames por unidade curricular, na época especial, é sujeita a emolumento no valor de 11 euro (B3.2 3). Este emolumento não terá lugar a devolução quer por não comparência no exame quer por anulação da inscrição.
Bom estudo.
Cumprimentos,
Carla Viveiros
Vice-Presidente
Área Pedagógica e Qualidade
phone: (351) 218317000
email: carla.viveiros@isel.pt   
Rua Conselheiro Emídio Navarro, 1
1959-007 Lisboa, Portugal
www.isel.pt</t>
  </si>
  <si>
    <t>Caros Docentes,
Venho por este meio informar que a opção para  a criação de pautas de 1.º semestre das UC está disponível no portal académico. Se foi nomeado responsável de unidade curricular (RUC), deverá verificar o seu acesso à pauta respetiva. Os responsáveis de unidade curricular estão configurados em sistema de acordo com a aprovação pelo órgão competente.
As datas limite para o lançamento das classificações para o 1.º semestre estão definidas no sistema de acordo com o calendário académico:
•             Época normal:  Até 25 de janeiro 2025 – prazo alargado até 8 de fevereiro devido a deteção de alguns atrasos;
•             Época de recurso: Até 8 de fevereiro de 2025;
•             Época especial: Até 22 de fevereiro de 2025.
A inscrição a melhoria de nota é efetuada pelo serviço mediante receção de requerimento submetido pelo estudante através do portal académico, no entanto, essa inscrição só é permitida após o lançamento de nota em sistema pelo RUC.
O atraso no lançamento de pautas impede o processamento atempado pelo serviço dos estudantes considerados finalistas de acordo com os regulamentos em vigor, para permitir a sua inscrição de forma autónoma em época especial, bem como a inscrição correta no semestre seguinte ao número de ECTS permitido pelo regulamento.</t>
  </si>
  <si>
    <t xml:space="preserve">Caros colegas,
A pedido da professora Carla Viveiros, junto envio a informação aprovada relativa à composição do júri para a candidatura a concursos 25/26,  para que seja dado acesso aos elementos que o constituem ao email correspondente associado às reclamações do tipo juriXXX@isel.pt.
Anexei também o ficheiro Excel compilado pelo SGAAE </t>
  </si>
  <si>
    <t>email para verificar ucs com estudantes inscritos sem ruc aprovado</t>
  </si>
  <si>
    <t>notificação de docentes sem lançamento de notas no prazo defenido para o efeito</t>
  </si>
  <si>
    <t>listagem de uC com estudantes inscritos sem aprovação - para geraçaõ de livro de termos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</si>
</sst>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9" x14ac:knownFonts="1">
    <font>
      <sz val="11"/>
      <color theme="1"/>
      <name val="Calibri"/>
      <family val="2"/>
      <scheme val="minor"/>
    </font>
    <font>
      <sz val="10"/>
      <color theme="1"/>
      <name val="Calibri"/>
      <family val="2"/>
      <scheme val="minor"/>
    </font>
    <font>
      <b/>
      <sz val="9"/>
      <color theme="0"/>
      <name val="Calibri"/>
      <family val="2"/>
      <scheme val="minor"/>
    </font>
    <font>
      <sz val="9"/>
      <color theme="1"/>
      <name val="Calibri"/>
      <family val="2"/>
      <scheme val="minor"/>
    </font>
    <font>
      <b/>
      <sz val="10"/>
      <color theme="1"/>
      <name val="Calibri"/>
      <family val="2"/>
      <scheme val="minor"/>
    </font>
    <font>
      <sz val="10"/>
      <color theme="1"/>
      <name val="Calibri"/>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Times New Roman"/>
      <family val="1"/>
    </font>
    <font>
      <sz val="10"/>
      <color rgb="FF000000"/>
      <name val="Calibri"/>
      <family val="2"/>
      <charset val="1"/>
    </font>
    <font>
      <sz val="11"/>
      <color theme="1"/>
      <name val="Trebuchet MS"/>
      <family val="2"/>
    </font>
    <font>
      <sz val="10"/>
      <name val="Arial"/>
      <family val="2"/>
    </font>
    <font>
      <u/>
      <sz val="11"/>
      <color theme="10"/>
      <name val="Calibri"/>
      <family val="2"/>
      <scheme val="minor"/>
    </font>
    <font>
      <sz val="10"/>
      <color rgb="FF000000"/>
      <name val="Calibri"/>
      <family val="2"/>
      <scheme val="minor"/>
    </font>
    <font>
      <b/>
      <sz val="10"/>
      <color theme="1"/>
      <name val="Calibri"/>
      <family val="2"/>
    </font>
    <font>
      <sz val="10"/>
      <color rgb="FFFF0000"/>
      <name val="Calibri"/>
      <family val="2"/>
      <scheme val="minor"/>
    </font>
    <font>
      <sz val="10"/>
      <name val="Calibri"/>
      <family val="2"/>
    </font>
    <font>
      <sz val="8"/>
      <name val="Calibri"/>
      <family val="2"/>
      <scheme val="minor"/>
    </font>
    <font>
      <sz val="10"/>
      <color rgb="FFFF0000"/>
      <name val="Calibri"/>
      <family val="2"/>
    </font>
    <font>
      <sz val="10"/>
      <color theme="9" tint="-0.499984740745262"/>
      <name val="Calibri"/>
      <family val="2"/>
      <charset val="1"/>
    </font>
    <font>
      <sz val="10"/>
      <color rgb="FFFF0000"/>
      <name val="Calibri"/>
      <family val="2"/>
      <charset val="1"/>
    </font>
    <font>
      <sz val="10"/>
      <color rgb="FF7030A0"/>
      <name val="Calibri"/>
      <family val="2"/>
      <scheme val="minor"/>
    </font>
    <font>
      <sz val="8"/>
      <color theme="1"/>
      <name val="Calibri"/>
      <family val="2"/>
      <scheme val="minor"/>
    </font>
    <font>
      <sz val="10"/>
      <color theme="9" tint="-0.249977111117893"/>
      <name val="Calibri"/>
      <family val="2"/>
      <charset val="1"/>
    </font>
  </fonts>
  <fills count="61">
    <fill>
      <patternFill patternType="none"/>
    </fill>
    <fill>
      <patternFill patternType="gray125"/>
    </fill>
    <fill>
      <patternFill patternType="solid">
        <fgColor rgb="FFACB9CA"/>
        <bgColor indexed="64"/>
      </patternFill>
    </fill>
    <fill>
      <patternFill patternType="solid">
        <fgColor theme="3"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rgb="FFBFBFBF"/>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9900"/>
        <bgColor indexed="64"/>
      </patternFill>
    </fill>
    <fill>
      <patternFill patternType="solid">
        <fgColor theme="0" tint="-0.249977111117893"/>
        <bgColor indexed="64"/>
      </patternFill>
    </fill>
    <fill>
      <patternFill patternType="solid">
        <fgColor rgb="FF00CC99"/>
        <bgColor indexed="64"/>
      </patternFill>
    </fill>
    <fill>
      <patternFill patternType="solid">
        <fgColor rgb="FFFFCCFF"/>
        <bgColor indexed="64"/>
      </patternFill>
    </fill>
    <fill>
      <patternFill patternType="solid">
        <fgColor rgb="FF00B0F0"/>
        <bgColor rgb="FFBFBFBF"/>
      </patternFill>
    </fill>
    <fill>
      <patternFill patternType="solid">
        <fgColor rgb="FF8A8B8C"/>
        <bgColor rgb="FFBFBFBF"/>
      </patternFill>
    </fill>
    <fill>
      <patternFill patternType="solid">
        <fgColor rgb="FF8A8B8C"/>
        <bgColor indexed="64"/>
      </patternFill>
    </fill>
    <fill>
      <patternFill patternType="solid">
        <fgColor rgb="FF00CC99"/>
        <bgColor rgb="FFBFBFBF"/>
      </patternFill>
    </fill>
    <fill>
      <patternFill patternType="solid">
        <fgColor rgb="FFFFFF99"/>
        <bgColor indexed="64"/>
      </patternFill>
    </fill>
    <fill>
      <patternFill patternType="solid">
        <fgColor rgb="FFCCCCFF"/>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9" tint="0.59999389629810485"/>
        <bgColor theme="4" tint="0.79998168889431442"/>
      </patternFill>
    </fill>
    <fill>
      <patternFill patternType="solid">
        <fgColor rgb="FFFFFF00"/>
        <bgColor indexed="64"/>
      </patternFill>
    </fill>
    <fill>
      <patternFill patternType="solid">
        <fgColor theme="4" tint="0.59999389629810485"/>
        <bgColor indexed="64"/>
      </patternFill>
    </fill>
    <fill>
      <patternFill patternType="solid">
        <fgColor rgb="FF7030A0"/>
        <bgColor indexed="64"/>
      </patternFill>
    </fill>
    <fill>
      <patternFill patternType="solid">
        <fgColor rgb="FFFF99FF"/>
        <bgColor indexed="64"/>
      </patternFill>
    </fill>
    <fill>
      <patternFill patternType="solid">
        <fgColor theme="4" tint="0.39997558519241921"/>
        <bgColor indexed="64"/>
      </patternFill>
    </fill>
    <fill>
      <patternFill patternType="solid">
        <fgColor theme="8" tint="0.59999389629810485"/>
        <bgColor indexed="64"/>
      </patternFill>
    </fill>
  </fills>
  <borders count="27">
    <border>
      <left/>
      <right/>
      <top/>
      <bottom/>
      <diagonal/>
    </border>
    <border>
      <left/>
      <right style="thick">
        <color theme="0"/>
      </right>
      <top/>
      <bottom/>
      <diagonal/>
    </border>
    <border>
      <left style="thick">
        <color theme="0"/>
      </left>
      <right style="thick">
        <color theme="0"/>
      </right>
      <top/>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op>
      <bottom/>
      <diagonal/>
    </border>
    <border>
      <left style="thick">
        <color theme="0"/>
      </left>
      <right/>
      <top/>
      <bottom/>
      <diagonal/>
    </border>
    <border>
      <left style="thick">
        <color theme="0"/>
      </left>
      <right/>
      <top style="thin">
        <color rgb="FFACB9CA"/>
      </top>
      <bottom style="thin">
        <color rgb="FFACB9CA"/>
      </bottom>
      <diagonal/>
    </border>
    <border>
      <left/>
      <right/>
      <top style="thin">
        <color rgb="FFACB9CA"/>
      </top>
      <bottom style="thin">
        <color rgb="FFACB9CA"/>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FFFFFF"/>
      </left>
      <right style="thick">
        <color rgb="FFFFFFFF"/>
      </right>
      <top/>
      <bottom style="thin">
        <color rgb="FFBFBFBF"/>
      </bottom>
      <diagonal/>
    </border>
    <border>
      <left style="thick">
        <color rgb="FFFFFFFF"/>
      </left>
      <right/>
      <top style="thin">
        <color rgb="FFACB9CA"/>
      </top>
      <bottom/>
      <diagonal/>
    </border>
    <border>
      <left style="thick">
        <color rgb="FFFFFFFF"/>
      </left>
      <right/>
      <top/>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55">
    <xf numFmtId="0" fontId="0" fillId="0" borderId="0"/>
    <xf numFmtId="0" fontId="7" fillId="0" borderId="0" applyNumberFormat="0" applyFill="0" applyBorder="0" applyAlignment="0" applyProtection="0"/>
    <xf numFmtId="0" fontId="8" fillId="0" borderId="8" applyNumberFormat="0" applyFill="0" applyAlignment="0" applyProtection="0"/>
    <xf numFmtId="0" fontId="9" fillId="0" borderId="9" applyNumberFormat="0" applyFill="0" applyAlignment="0" applyProtection="0"/>
    <xf numFmtId="0" fontId="10" fillId="0" borderId="10"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11" applyNumberFormat="0" applyAlignment="0" applyProtection="0"/>
    <xf numFmtId="0" fontId="15" fillId="8" borderId="12" applyNumberFormat="0" applyAlignment="0" applyProtection="0"/>
    <xf numFmtId="0" fontId="16" fillId="8" borderId="11" applyNumberFormat="0" applyAlignment="0" applyProtection="0"/>
    <xf numFmtId="0" fontId="17" fillId="0" borderId="13" applyNumberFormat="0" applyFill="0" applyAlignment="0" applyProtection="0"/>
    <xf numFmtId="0" fontId="18" fillId="9" borderId="14" applyNumberFormat="0" applyAlignment="0" applyProtection="0"/>
    <xf numFmtId="0" fontId="19" fillId="0" borderId="0" applyNumberFormat="0" applyFill="0" applyBorder="0" applyAlignment="0" applyProtection="0"/>
    <xf numFmtId="0" fontId="6" fillId="10" borderId="15" applyNumberFormat="0" applyFont="0" applyAlignment="0" applyProtection="0"/>
    <xf numFmtId="0" fontId="20" fillId="0" borderId="0" applyNumberFormat="0" applyFill="0" applyBorder="0" applyAlignment="0" applyProtection="0"/>
    <xf numFmtId="0" fontId="21" fillId="0" borderId="16" applyNumberFormat="0" applyFill="0" applyAlignment="0" applyProtection="0"/>
    <xf numFmtId="0" fontId="22"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2" fillId="30" borderId="0" applyNumberFormat="0" applyBorder="0" applyAlignment="0" applyProtection="0"/>
    <xf numFmtId="0" fontId="22"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2" fillId="34" borderId="0" applyNumberFormat="0" applyBorder="0" applyAlignment="0" applyProtection="0"/>
    <xf numFmtId="44" fontId="6" fillId="0" borderId="0" applyFont="0" applyFill="0" applyBorder="0" applyAlignment="0" applyProtection="0"/>
    <xf numFmtId="0" fontId="23" fillId="0" borderId="0"/>
    <xf numFmtId="0" fontId="25" fillId="0" borderId="0"/>
    <xf numFmtId="0" fontId="26" fillId="0" borderId="0"/>
    <xf numFmtId="0" fontId="25" fillId="0" borderId="0"/>
    <xf numFmtId="0" fontId="6" fillId="0" borderId="0"/>
    <xf numFmtId="0" fontId="27" fillId="0" borderId="0" applyNumberFormat="0" applyFill="0" applyBorder="0" applyAlignment="0" applyProtection="0"/>
    <xf numFmtId="0" fontId="6" fillId="0" borderId="0"/>
    <xf numFmtId="0" fontId="26" fillId="0" borderId="0"/>
    <xf numFmtId="0" fontId="6" fillId="0" borderId="0"/>
    <xf numFmtId="0" fontId="6" fillId="0" borderId="0"/>
    <xf numFmtId="0" fontId="26" fillId="0" borderId="0"/>
    <xf numFmtId="0" fontId="6" fillId="0" borderId="0"/>
  </cellStyleXfs>
  <cellXfs count="104">
    <xf numFmtId="0" fontId="0" fillId="0" borderId="0" xfId="0"/>
    <xf numFmtId="0" fontId="1" fillId="0" borderId="0" xfId="0" applyFont="1"/>
    <xf numFmtId="0" fontId="3" fillId="0" borderId="0" xfId="0" applyFont="1"/>
    <xf numFmtId="0" fontId="4" fillId="0" borderId="0" xfId="0" applyFont="1"/>
    <xf numFmtId="0" fontId="2" fillId="3" borderId="4"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24" fillId="35" borderId="17" xfId="0" applyFont="1" applyFill="1" applyBorder="1" applyAlignment="1">
      <alignment horizontal="left" vertical="top"/>
    </xf>
    <xf numFmtId="0" fontId="4" fillId="0" borderId="0" xfId="0" applyFont="1" applyAlignment="1">
      <alignment horizontal="left"/>
    </xf>
    <xf numFmtId="0" fontId="2" fillId="3" borderId="4" xfId="0" applyFont="1" applyFill="1" applyBorder="1" applyAlignment="1">
      <alignment horizontal="left"/>
    </xf>
    <xf numFmtId="0" fontId="1" fillId="0" borderId="0" xfId="0" applyFont="1" applyAlignment="1">
      <alignment horizontal="left"/>
    </xf>
    <xf numFmtId="0" fontId="4" fillId="0" borderId="0" xfId="0" applyFont="1" applyAlignment="1">
      <alignment wrapText="1"/>
    </xf>
    <xf numFmtId="0" fontId="1" fillId="0" borderId="0" xfId="0" applyFont="1" applyAlignment="1">
      <alignment wrapText="1"/>
    </xf>
    <xf numFmtId="0" fontId="2" fillId="2" borderId="2" xfId="0" applyFont="1" applyFill="1" applyBorder="1" applyAlignment="1">
      <alignment horizontal="center" wrapText="1"/>
    </xf>
    <xf numFmtId="0" fontId="1" fillId="0" borderId="3" xfId="0" applyFont="1" applyBorder="1" applyAlignment="1">
      <alignment horizontal="left" vertical="top" wrapText="1"/>
    </xf>
    <xf numFmtId="0" fontId="1" fillId="36" borderId="3" xfId="0" applyFont="1" applyFill="1" applyBorder="1" applyAlignment="1">
      <alignment horizontal="left" vertical="top" wrapText="1"/>
    </xf>
    <xf numFmtId="0" fontId="1" fillId="37" borderId="3" xfId="0" applyFont="1" applyFill="1" applyBorder="1" applyAlignment="1">
      <alignment horizontal="left" vertical="top" wrapText="1"/>
    </xf>
    <xf numFmtId="0" fontId="2" fillId="3" borderId="0" xfId="0" applyFont="1" applyFill="1" applyAlignment="1">
      <alignment horizontal="left"/>
    </xf>
    <xf numFmtId="0" fontId="2" fillId="3" borderId="0" xfId="0" applyFont="1" applyFill="1" applyAlignment="1">
      <alignment horizontal="center"/>
    </xf>
    <xf numFmtId="0" fontId="4" fillId="38" borderId="0" xfId="0" applyFont="1" applyFill="1" applyAlignment="1">
      <alignment wrapText="1"/>
    </xf>
    <xf numFmtId="0" fontId="4" fillId="39" borderId="0" xfId="0" applyFont="1" applyFill="1" applyAlignment="1">
      <alignment wrapText="1"/>
    </xf>
    <xf numFmtId="0" fontId="1" fillId="38" borderId="3" xfId="0" applyFont="1" applyFill="1" applyBorder="1" applyAlignment="1">
      <alignment horizontal="left" vertical="top" wrapText="1"/>
    </xf>
    <xf numFmtId="0" fontId="4" fillId="40" borderId="0" xfId="0" applyFont="1" applyFill="1" applyAlignment="1">
      <alignment wrapText="1"/>
    </xf>
    <xf numFmtId="0" fontId="1" fillId="40" borderId="3" xfId="0" applyFont="1" applyFill="1" applyBorder="1" applyAlignment="1">
      <alignment horizontal="left" vertical="top" wrapText="1"/>
    </xf>
    <xf numFmtId="0" fontId="1" fillId="39" borderId="3" xfId="0" applyFont="1" applyFill="1" applyBorder="1" applyAlignment="1">
      <alignment horizontal="left" vertical="top" wrapText="1"/>
    </xf>
    <xf numFmtId="0" fontId="28" fillId="39" borderId="0" xfId="0" applyFont="1" applyFill="1" applyAlignment="1">
      <alignment horizontal="left" wrapText="1"/>
    </xf>
    <xf numFmtId="0" fontId="28" fillId="39" borderId="0" xfId="0" applyFont="1" applyFill="1" applyAlignment="1">
      <alignment horizontal="left" vertical="top" wrapText="1"/>
    </xf>
    <xf numFmtId="0" fontId="1" fillId="45" borderId="3" xfId="0" applyFont="1" applyFill="1" applyBorder="1" applyAlignment="1">
      <alignment horizontal="left" vertical="top" wrapText="1"/>
    </xf>
    <xf numFmtId="0" fontId="24" fillId="46" borderId="17" xfId="0" applyFont="1" applyFill="1" applyBorder="1" applyAlignment="1">
      <alignment horizontal="left" vertical="top" wrapText="1"/>
    </xf>
    <xf numFmtId="0" fontId="24" fillId="47" borderId="17" xfId="0" applyFont="1" applyFill="1" applyBorder="1" applyAlignment="1">
      <alignment horizontal="left" vertical="top" wrapText="1"/>
    </xf>
    <xf numFmtId="0" fontId="24" fillId="47" borderId="17" xfId="0" applyFont="1" applyFill="1" applyBorder="1" applyAlignment="1">
      <alignment horizontal="left" vertical="top"/>
    </xf>
    <xf numFmtId="0" fontId="28" fillId="47" borderId="0" xfId="0" applyFont="1" applyFill="1" applyAlignment="1">
      <alignment wrapText="1"/>
    </xf>
    <xf numFmtId="0" fontId="28" fillId="39" borderId="0" xfId="0" applyFont="1" applyFill="1" applyAlignment="1">
      <alignment wrapText="1"/>
    </xf>
    <xf numFmtId="0" fontId="1" fillId="39" borderId="0" xfId="0" applyFont="1" applyFill="1" applyAlignment="1">
      <alignment wrapText="1"/>
    </xf>
    <xf numFmtId="0" fontId="3" fillId="0" borderId="0" xfId="0" applyFont="1" applyAlignment="1">
      <alignment wrapText="1"/>
    </xf>
    <xf numFmtId="0" fontId="1" fillId="41" borderId="0" xfId="0" applyFont="1" applyFill="1" applyAlignment="1">
      <alignment wrapText="1"/>
    </xf>
    <xf numFmtId="0" fontId="1" fillId="44" borderId="0" xfId="0" applyFont="1" applyFill="1" applyAlignment="1">
      <alignment wrapText="1"/>
    </xf>
    <xf numFmtId="0" fontId="1" fillId="48" borderId="0" xfId="0" applyFont="1" applyFill="1" applyAlignment="1">
      <alignment wrapText="1"/>
    </xf>
    <xf numFmtId="0" fontId="1" fillId="43" borderId="0" xfId="0" applyFont="1" applyFill="1" applyAlignment="1">
      <alignment wrapText="1"/>
    </xf>
    <xf numFmtId="0" fontId="1" fillId="42" borderId="0" xfId="0" applyFont="1" applyFill="1" applyAlignment="1">
      <alignment wrapText="1"/>
    </xf>
    <xf numFmtId="0" fontId="4" fillId="0" borderId="0" xfId="0" applyFont="1" applyAlignment="1">
      <alignment horizontal="left" wrapText="1"/>
    </xf>
    <xf numFmtId="0" fontId="1" fillId="0" borderId="0" xfId="0" applyFont="1" applyAlignment="1">
      <alignment horizontal="left" wrapText="1"/>
    </xf>
    <xf numFmtId="0" fontId="2" fillId="2" borderId="2" xfId="0" applyFont="1" applyFill="1" applyBorder="1" applyAlignment="1">
      <alignment horizontal="left" wrapText="1"/>
    </xf>
    <xf numFmtId="0" fontId="4" fillId="45" borderId="0" xfId="0" applyFont="1" applyFill="1" applyAlignment="1">
      <alignment wrapText="1"/>
    </xf>
    <xf numFmtId="0" fontId="24" fillId="49" borderId="17" xfId="0" applyFont="1" applyFill="1" applyBorder="1" applyAlignment="1">
      <alignment horizontal="left" vertical="top"/>
    </xf>
    <xf numFmtId="0" fontId="1" fillId="41" borderId="3" xfId="0" applyFont="1" applyFill="1" applyBorder="1" applyAlignment="1">
      <alignment horizontal="left" vertical="top" wrapText="1"/>
    </xf>
    <xf numFmtId="0" fontId="1" fillId="48" borderId="3" xfId="0" applyFont="1" applyFill="1" applyBorder="1" applyAlignment="1">
      <alignment horizontal="left" vertical="top" wrapText="1"/>
    </xf>
    <xf numFmtId="0" fontId="5" fillId="50" borderId="7" xfId="0" applyFont="1" applyFill="1" applyBorder="1" applyAlignment="1">
      <alignment vertical="center" wrapText="1"/>
    </xf>
    <xf numFmtId="0" fontId="24" fillId="35" borderId="17" xfId="0" applyFont="1" applyFill="1" applyBorder="1" applyAlignment="1">
      <alignment horizontal="left" vertical="top" wrapText="1"/>
    </xf>
    <xf numFmtId="0" fontId="1" fillId="44" borderId="3" xfId="0" applyFont="1" applyFill="1" applyBorder="1" applyAlignment="1">
      <alignment horizontal="left" vertical="top" wrapText="1"/>
    </xf>
    <xf numFmtId="0" fontId="24" fillId="49" borderId="17" xfId="0" applyFont="1" applyFill="1" applyBorder="1" applyAlignment="1">
      <alignment horizontal="left" vertical="top" wrapText="1"/>
    </xf>
    <xf numFmtId="0" fontId="1" fillId="51" borderId="3" xfId="0" applyFont="1" applyFill="1" applyBorder="1" applyAlignment="1">
      <alignment horizontal="left" vertical="top" wrapText="1"/>
    </xf>
    <xf numFmtId="0" fontId="0" fillId="0" borderId="0" xfId="0" applyAlignment="1">
      <alignment vertical="center"/>
    </xf>
    <xf numFmtId="0" fontId="1" fillId="52" borderId="0" xfId="0" applyFont="1" applyFill="1" applyAlignment="1">
      <alignment wrapText="1"/>
    </xf>
    <xf numFmtId="0" fontId="34" fillId="46" borderId="17" xfId="0" applyFont="1" applyFill="1" applyBorder="1" applyAlignment="1">
      <alignment horizontal="left" vertical="top" wrapText="1"/>
    </xf>
    <xf numFmtId="0" fontId="34" fillId="49" borderId="17" xfId="0" applyFont="1" applyFill="1" applyBorder="1" applyAlignment="1">
      <alignment horizontal="left" vertical="top" wrapText="1"/>
    </xf>
    <xf numFmtId="0" fontId="35" fillId="46" borderId="17" xfId="0" applyFont="1" applyFill="1" applyBorder="1" applyAlignment="1">
      <alignment horizontal="left" vertical="top" wrapText="1"/>
    </xf>
    <xf numFmtId="0" fontId="6" fillId="39" borderId="20" xfId="0" applyFont="1" applyFill="1" applyBorder="1" applyAlignment="1">
      <alignment horizontal="center"/>
    </xf>
    <xf numFmtId="0" fontId="0" fillId="0" borderId="0" xfId="0"/>
    <xf numFmtId="0" fontId="6" fillId="53" borderId="20" xfId="0" applyFont="1" applyFill="1" applyBorder="1" applyAlignment="1">
      <alignment horizontal="center"/>
    </xf>
    <xf numFmtId="0" fontId="6" fillId="54" borderId="20" xfId="0" applyFont="1" applyFill="1" applyBorder="1" applyAlignment="1">
      <alignment horizontal="center"/>
    </xf>
    <xf numFmtId="0" fontId="0" fillId="39" borderId="0" xfId="0" applyFill="1"/>
    <xf numFmtId="0" fontId="6" fillId="55" borderId="20" xfId="0" applyFont="1" applyFill="1" applyBorder="1" applyAlignment="1">
      <alignment horizontal="center"/>
    </xf>
    <xf numFmtId="0" fontId="0" fillId="0" borderId="0" xfId="0" applyFill="1"/>
    <xf numFmtId="0" fontId="0" fillId="55" borderId="0" xfId="0" applyFill="1"/>
    <xf numFmtId="0" fontId="0" fillId="56" borderId="0" xfId="0" applyFill="1"/>
    <xf numFmtId="0" fontId="6" fillId="56" borderId="20" xfId="0" applyFont="1" applyFill="1" applyBorder="1" applyAlignment="1">
      <alignment horizontal="center"/>
    </xf>
    <xf numFmtId="0" fontId="0" fillId="52" borderId="0" xfId="0" applyFill="1"/>
    <xf numFmtId="0" fontId="6" fillId="52" borderId="20" xfId="0" applyFont="1" applyFill="1" applyBorder="1" applyAlignment="1">
      <alignment horizontal="center"/>
    </xf>
    <xf numFmtId="0" fontId="0" fillId="40" borderId="0" xfId="0" applyFill="1"/>
    <xf numFmtId="0" fontId="6" fillId="40" borderId="20" xfId="0" applyFont="1" applyFill="1" applyBorder="1" applyAlignment="1">
      <alignment horizontal="center"/>
    </xf>
    <xf numFmtId="0" fontId="4" fillId="57" borderId="0" xfId="0" applyFont="1" applyFill="1"/>
    <xf numFmtId="0" fontId="4" fillId="50" borderId="0" xfId="0" applyFont="1" applyFill="1"/>
    <xf numFmtId="0" fontId="5" fillId="57" borderId="7" xfId="0" applyFont="1" applyFill="1" applyBorder="1" applyAlignment="1">
      <alignment vertical="center" wrapText="1"/>
    </xf>
    <xf numFmtId="0" fontId="4" fillId="58" borderId="0" xfId="0" applyFont="1" applyFill="1"/>
    <xf numFmtId="0" fontId="5" fillId="58" borderId="7" xfId="0" applyFont="1" applyFill="1" applyBorder="1" applyAlignment="1">
      <alignment vertical="center" wrapText="1"/>
    </xf>
    <xf numFmtId="0" fontId="36" fillId="39" borderId="3" xfId="0" applyFont="1" applyFill="1" applyBorder="1" applyAlignment="1">
      <alignment horizontal="left" vertical="top" wrapText="1"/>
    </xf>
    <xf numFmtId="0" fontId="5" fillId="57" borderId="0" xfId="0" applyFont="1" applyFill="1" applyAlignment="1">
      <alignment vertical="center" wrapText="1"/>
    </xf>
    <xf numFmtId="0" fontId="1" fillId="59" borderId="0" xfId="0" applyFont="1" applyFill="1"/>
    <xf numFmtId="0" fontId="5" fillId="60" borderId="7" xfId="0" applyFont="1" applyFill="1" applyBorder="1" applyAlignment="1">
      <alignment vertical="center" wrapText="1"/>
    </xf>
    <xf numFmtId="0" fontId="37" fillId="0" borderId="21" xfId="0" applyFont="1" applyBorder="1" applyAlignment="1">
      <alignment horizontal="justify" vertical="center" wrapText="1"/>
    </xf>
    <xf numFmtId="0" fontId="37" fillId="0" borderId="22" xfId="0" applyFont="1" applyBorder="1" applyAlignment="1">
      <alignment horizontal="justify" vertical="center" wrapText="1"/>
    </xf>
    <xf numFmtId="0" fontId="37" fillId="0" borderId="23" xfId="0" applyFont="1" applyBorder="1" applyAlignment="1">
      <alignment horizontal="justify" vertical="center" wrapText="1"/>
    </xf>
    <xf numFmtId="0" fontId="37" fillId="0" borderId="24" xfId="0" applyFont="1" applyBorder="1" applyAlignment="1">
      <alignment horizontal="justify" vertical="center" wrapText="1"/>
    </xf>
    <xf numFmtId="0" fontId="37" fillId="0" borderId="23" xfId="0" applyFont="1" applyBorder="1" applyAlignment="1">
      <alignment horizontal="left" vertical="center" wrapText="1"/>
    </xf>
    <xf numFmtId="0" fontId="37" fillId="0" borderId="25" xfId="0" applyFont="1" applyBorder="1" applyAlignment="1">
      <alignment horizontal="justify" vertical="center" wrapText="1"/>
    </xf>
    <xf numFmtId="0" fontId="2" fillId="2" borderId="5" xfId="0" applyFont="1" applyFill="1" applyBorder="1" applyAlignment="1">
      <alignment horizontal="left"/>
    </xf>
    <xf numFmtId="0" fontId="2" fillId="2" borderId="0" xfId="0" applyFont="1" applyFill="1" applyAlignment="1">
      <alignment horizontal="left"/>
    </xf>
    <xf numFmtId="0" fontId="2" fillId="2" borderId="1" xfId="0" applyFont="1" applyFill="1" applyBorder="1" applyAlignment="1">
      <alignment horizontal="left"/>
    </xf>
    <xf numFmtId="0" fontId="37" fillId="0" borderId="26" xfId="0" applyFont="1" applyBorder="1" applyAlignment="1">
      <alignment horizontal="justify" vertical="center" wrapText="1"/>
    </xf>
    <xf numFmtId="0" fontId="37" fillId="0" borderId="23" xfId="0" applyFont="1" applyBorder="1" applyAlignment="1">
      <alignment horizontal="justify" vertical="center" wrapText="1"/>
    </xf>
    <xf numFmtId="0" fontId="38" fillId="46" borderId="17" xfId="0" applyFont="1" applyFill="1" applyBorder="1" applyAlignment="1">
      <alignment horizontal="left" vertical="top" wrapText="1"/>
    </xf>
    <xf numFmtId="0" fontId="1" fillId="50" borderId="18" xfId="0" applyFont="1" applyFill="1" applyBorder="1" applyAlignment="1">
      <alignment horizontal="center" wrapText="1"/>
    </xf>
    <xf numFmtId="0" fontId="1" fillId="50" borderId="19" xfId="0" applyFont="1" applyFill="1" applyBorder="1" applyAlignment="1">
      <alignment horizontal="center" wrapText="1"/>
    </xf>
    <xf numFmtId="0" fontId="1" fillId="50" borderId="0" xfId="0" applyFont="1" applyFill="1" applyAlignment="1">
      <alignment wrapText="1"/>
    </xf>
    <xf numFmtId="0" fontId="1" fillId="50" borderId="0" xfId="0" applyFont="1" applyFill="1"/>
    <xf numFmtId="0" fontId="5" fillId="0" borderId="7" xfId="0" applyFont="1" applyFill="1" applyBorder="1" applyAlignment="1">
      <alignment vertical="center" wrapText="1"/>
    </xf>
    <xf numFmtId="0" fontId="1" fillId="0" borderId="0" xfId="0" applyFont="1" applyFill="1" applyAlignment="1">
      <alignment wrapText="1"/>
    </xf>
    <xf numFmtId="0" fontId="1" fillId="0" borderId="0" xfId="0" applyFont="1" applyFill="1"/>
    <xf numFmtId="0" fontId="5" fillId="0" borderId="6" xfId="0" applyFont="1" applyFill="1" applyBorder="1" applyAlignment="1">
      <alignment vertical="center" wrapText="1"/>
    </xf>
    <xf numFmtId="0" fontId="1" fillId="0" borderId="0" xfId="0" applyFont="1" applyFill="1" applyAlignment="1">
      <alignment vertical="center" wrapText="1"/>
    </xf>
    <xf numFmtId="0" fontId="1" fillId="58" borderId="0" xfId="0" applyFont="1" applyFill="1" applyAlignment="1">
      <alignment wrapText="1"/>
    </xf>
    <xf numFmtId="0" fontId="1" fillId="0" borderId="0" xfId="0" applyFont="1" applyAlignment="1">
      <alignment vertical="center"/>
    </xf>
  </cellXfs>
  <cellStyles count="55">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Hiperligação 2" xfId="48" xr:uid="{00000000-0005-0000-0000-000020000000}"/>
    <cellStyle name="Incorreto" xfId="7" builtinId="27" customBuiltin="1"/>
    <cellStyle name="Moeda 2" xfId="42" xr:uid="{00000000-0005-0000-0000-000022000000}"/>
    <cellStyle name="Neutro" xfId="8" builtinId="28" customBuiltin="1"/>
    <cellStyle name="Normal" xfId="0" builtinId="0"/>
    <cellStyle name="Normal 2" xfId="43" xr:uid="{00000000-0005-0000-0000-000025000000}"/>
    <cellStyle name="Normal 2 2" xfId="46" xr:uid="{00000000-0005-0000-0000-000026000000}"/>
    <cellStyle name="Normal 3" xfId="47" xr:uid="{00000000-0005-0000-0000-000027000000}"/>
    <cellStyle name="Normal 3 2" xfId="49" xr:uid="{00000000-0005-0000-0000-000028000000}"/>
    <cellStyle name="Normal 3 2 2" xfId="52" xr:uid="{00000000-0005-0000-0000-000029000000}"/>
    <cellStyle name="Normal 3 3" xfId="51" xr:uid="{00000000-0005-0000-0000-00002A000000}"/>
    <cellStyle name="Normal 4" xfId="50" xr:uid="{00000000-0005-0000-0000-00002B000000}"/>
    <cellStyle name="Normal 4 2" xfId="53" xr:uid="{00000000-0005-0000-0000-00002C000000}"/>
    <cellStyle name="Normal 5" xfId="54" xr:uid="{00000000-0005-0000-0000-00002D000000}"/>
    <cellStyle name="Normal 6" xfId="45" xr:uid="{00000000-0005-0000-0000-00002E000000}"/>
    <cellStyle name="Normal 7" xfId="44" xr:uid="{00000000-0005-0000-0000-00002F00000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colors>
    <mruColors>
      <color rgb="FFFF99FF"/>
      <color rgb="FFFFFF99"/>
      <color rgb="FFFFCCFF"/>
      <color rgb="FF8A8B8C"/>
      <color rgb="FFCCCCFF"/>
      <color rgb="FF00CC99"/>
      <color rgb="FFFF9900"/>
      <color rgb="FF73B14D"/>
      <color rgb="FFACB9CA"/>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bela Carneiro" refreshedDate="43532.643907291669" createdVersion="5" refreshedVersion="5" minRefreshableVersion="3" recordCount="246" xr:uid="{00000000-000A-0000-FFFF-FFFF00000000}">
  <cacheSource type="worksheet">
    <worksheetSource ref="B6:E74" sheet="2022"/>
  </cacheSource>
  <cacheFields count="8">
    <cacheField name="SERVIÇO" numFmtId="0">
      <sharedItems containsBlank="1" count="8">
        <s v="GAQ"/>
        <s v="UCI"/>
        <s v="SDP"/>
        <s v="SDP "/>
        <s v="GCOM"/>
        <s v="SRH"/>
        <m/>
        <s v="BISEL"/>
      </sharedItems>
    </cacheField>
    <cacheField name="TIPO ATIVIDADE" numFmtId="0">
      <sharedItems containsBlank="1" count="7">
        <s v="AÇÃO"/>
        <s v="FORMAÇÃO"/>
        <s v="Outro"/>
        <s v="AQUISIÇÃO"/>
        <s v="EQUIPAMENTO"/>
        <m/>
        <s v="Aquisições/Obras"/>
      </sharedItems>
    </cacheField>
    <cacheField name="DESCRIÇÃO" numFmtId="0">
      <sharedItems longText="1"/>
    </cacheField>
    <cacheField name="RESPONSÁVEL" numFmtId="0">
      <sharedItems containsBlank="1"/>
    </cacheField>
    <cacheField name="PERIODICIDADE" numFmtId="0">
      <sharedItems containsBlank="1"/>
    </cacheField>
    <cacheField name="QUANTIDADE" numFmtId="0">
      <sharedItems containsString="0" containsBlank="1" containsNumber="1" containsInteger="1" minValue="1" maxValue="100"/>
    </cacheField>
    <cacheField name="VALOR UNITÁRIO" numFmtId="0">
      <sharedItems containsString="0" containsBlank="1" containsNumber="1" minValue="0" maxValue="32500"/>
    </cacheField>
    <cacheField name="CUSTO" numFmtId="0">
      <sharedItems containsBlank="1" containsMixedTypes="1" containsNumber="1" minValue="0" maxValue="32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6">
  <r>
    <x v="0"/>
    <x v="0"/>
    <s v="Compilação das reclamações 2018"/>
    <s v="GAQ"/>
    <s v="Anual"/>
    <m/>
    <m/>
    <m/>
  </r>
  <r>
    <x v="0"/>
    <x v="0"/>
    <s v="Elaboração do Relatório de Interação com a Comunidade 2018"/>
    <s v="GAQ"/>
    <s v="Anual"/>
    <m/>
    <m/>
    <m/>
  </r>
  <r>
    <x v="0"/>
    <x v="0"/>
    <s v="Aprovação do relatório do SIGQ 2018 pelo Presidente"/>
    <s v="Presidente | CCQ"/>
    <s v="Anual"/>
    <m/>
    <m/>
    <m/>
  </r>
  <r>
    <x v="0"/>
    <x v="0"/>
    <s v="Elaboração do Relatório de Atividades e Contas de 2018"/>
    <s v="GAQ_x000a_Presidência"/>
    <s v="Anual"/>
    <m/>
    <m/>
    <m/>
  </r>
  <r>
    <x v="0"/>
    <x v="0"/>
    <s v="Elaboração da proposta de Plano de Atividades de 2020"/>
    <s v="GAQ_x000a_Presidência"/>
    <s v="Anual"/>
    <m/>
    <m/>
    <m/>
  </r>
  <r>
    <x v="0"/>
    <x v="0"/>
    <s v="Aprovação do QUAR 2019"/>
    <s v="Presidente_x000a_Conselho de Supervisão"/>
    <s v="Anual"/>
    <m/>
    <m/>
    <m/>
  </r>
  <r>
    <x v="0"/>
    <x v="0"/>
    <s v="Auditoria Interna –  Programa 2019 (Cronograma) apresentação"/>
    <s v="GAQ_x000a_Presidência"/>
    <s v="Anual"/>
    <m/>
    <m/>
    <m/>
  </r>
  <r>
    <x v="0"/>
    <x v="0"/>
    <s v="Inquérito Utentes dos Serviços 2018"/>
    <s v="GAQ"/>
    <s v="Anual"/>
    <m/>
    <m/>
    <m/>
  </r>
  <r>
    <x v="0"/>
    <x v="0"/>
    <s v="Inquérito aos Docentes 2018"/>
    <s v="GAQ"/>
    <s v="Anual"/>
    <m/>
    <m/>
    <m/>
  </r>
  <r>
    <x v="0"/>
    <x v="0"/>
    <s v="Inquérito aos Não Docentes 2018"/>
    <s v="GAQ"/>
    <s v="Anual"/>
    <m/>
    <m/>
    <m/>
  </r>
  <r>
    <x v="0"/>
    <x v="0"/>
    <s v="Inquérito aos Novos Alunos (1º ano/1ª vez) 2018/2019"/>
    <s v="GAQ"/>
    <s v="Anual"/>
    <m/>
    <m/>
    <m/>
  </r>
  <r>
    <x v="0"/>
    <x v="0"/>
    <s v="Inquérito aos Diplomados 2016/17 e 2017/18"/>
    <s v="GAQ"/>
    <s v="Anual"/>
    <m/>
    <m/>
    <m/>
  </r>
  <r>
    <x v="0"/>
    <x v="0"/>
    <s v="Inquérito Alummi "/>
    <s v="GAQ"/>
    <s v="Anual"/>
    <m/>
    <m/>
    <m/>
  </r>
  <r>
    <x v="0"/>
    <x v="0"/>
    <s v="Inquérito aos Empregadores [a realizar em 2019]"/>
    <s v="GAQ"/>
    <s v="Bienal"/>
    <m/>
    <m/>
    <m/>
  </r>
  <r>
    <x v="0"/>
    <x v="0"/>
    <s v="Inquérito ao Abandono"/>
    <s v="CP"/>
    <s v="Anual"/>
    <m/>
    <m/>
    <m/>
  </r>
  <r>
    <x v="0"/>
    <x v="0"/>
    <s v="Inquérito aos Estudantes 1º Semestre 2018/19"/>
    <s v="CP"/>
    <s v="Semestral"/>
    <m/>
    <m/>
    <m/>
  </r>
  <r>
    <x v="0"/>
    <x v="0"/>
    <s v="Inquérito aos Estudantes 2º Semestre 2017/18"/>
    <s v="CP"/>
    <s v="Semestral"/>
    <m/>
    <m/>
    <m/>
  </r>
  <r>
    <x v="0"/>
    <x v="0"/>
    <s v="Relatório de UC 1º Semestre (20187/18 e 2018/19)"/>
    <s v="CP"/>
    <s v="Semestral"/>
    <m/>
    <m/>
    <m/>
  </r>
  <r>
    <x v="0"/>
    <x v="0"/>
    <s v="Relatório de UC 2º Semestre  (20187/18 e 2018/19)"/>
    <s v="CP"/>
    <s v="Semestral"/>
    <m/>
    <m/>
    <m/>
  </r>
  <r>
    <x v="0"/>
    <x v="0"/>
    <s v="Relatório de Curso"/>
    <s v="CP_x000a_Coord. Curso"/>
    <s v="Anual"/>
    <m/>
    <m/>
    <m/>
  </r>
  <r>
    <x v="0"/>
    <x v="0"/>
    <s v="Relatório Internacionalização 2018"/>
    <s v="SRExt"/>
    <s v="Anual"/>
    <m/>
    <m/>
    <m/>
  </r>
  <r>
    <x v="0"/>
    <x v="0"/>
    <s v="Relatório de ID&amp;I 2017"/>
    <s v="SDP"/>
    <s v="Anual"/>
    <m/>
    <m/>
    <m/>
  </r>
  <r>
    <x v="0"/>
    <x v="0"/>
    <s v="Alteração do plano de estudos (tipo e horas de contacto) _x000a_LEC | LEE | LEETC | LEQB | LEIC | LTGM | LEIM | LMATE | LEIRT | LEB | LEM | MERCM | MEC | MEE | MEIC | MEQB | MEET | MEGI |MACRAS | MEQA | MEB |MEM"/>
    <s v="Presidente |_x000a_Coordenadores Curso"/>
    <m/>
    <n v="22"/>
    <n v="350"/>
    <n v="7700"/>
  </r>
  <r>
    <x v="0"/>
    <x v="0"/>
    <s v="Novo ciclo de estudos  : matemática e física"/>
    <s v="GAQ"/>
    <s v="Anual"/>
    <n v="2"/>
    <n v="4500"/>
    <n v="9000"/>
  </r>
  <r>
    <x v="0"/>
    <x v="0"/>
    <s v="Acreditação ciclos de estudo (2º ciclo de avaliação)_x000a_MACRAS | MEQA | MEB | MEM | LEM "/>
    <s v="GAQ"/>
    <s v="Anual"/>
    <n v="5"/>
    <n v="4500"/>
    <n v="22500"/>
  </r>
  <r>
    <x v="0"/>
    <x v="0"/>
    <s v="Auditorias (3 já previstas)"/>
    <s v="GAQ"/>
    <s v="Anual"/>
    <m/>
    <m/>
    <m/>
  </r>
  <r>
    <x v="0"/>
    <x v="0"/>
    <s v="Parcerias (as diversas fases)"/>
    <s v="GAQ"/>
    <s v="Mensal"/>
    <m/>
    <m/>
    <m/>
  </r>
  <r>
    <x v="0"/>
    <x v="0"/>
    <s v="Relatório de Melhoria de Auditorias 2019"/>
    <s v="GAQ"/>
    <s v="Anual"/>
    <m/>
    <m/>
    <m/>
  </r>
  <r>
    <x v="0"/>
    <x v="0"/>
    <s v="Reunião GT2 (grupo da qualidade do IPQ) GAQ Mensal"/>
    <s v="GAQ"/>
    <s v="Mensal"/>
    <m/>
    <m/>
    <m/>
  </r>
  <r>
    <x v="0"/>
    <x v="0"/>
    <s v="Certificação de uma área do ISEL - Serviço de Recursos Humanos"/>
    <s v="GAQ"/>
    <m/>
    <n v="1"/>
    <m/>
    <m/>
  </r>
  <r>
    <x v="0"/>
    <x v="1"/>
    <s v="Gestão de Projetos (Sindicato dos Quadro Técnicos)"/>
    <s v="GAQ"/>
    <m/>
    <n v="1"/>
    <n v="0"/>
    <n v="0"/>
  </r>
  <r>
    <x v="0"/>
    <x v="1"/>
    <s v="Auditoria de Sistemas e Tecnologias de Informação (IPAI – Instituto Português de Auditoria Interna) "/>
    <s v="GAQ"/>
    <m/>
    <n v="1"/>
    <n v="350"/>
    <n v="350"/>
  </r>
  <r>
    <x v="0"/>
    <x v="1"/>
    <s v="Auditoria de Instituições Públicas (IPAI – Instituto Português de Auditoria Interna)"/>
    <s v="GAQ"/>
    <m/>
    <n v="1"/>
    <n v="0"/>
    <n v="0"/>
  </r>
  <r>
    <x v="0"/>
    <x v="1"/>
    <s v="XIV Fórum de Auditoria Interna (IPAI – Instituto Português de Auditoria Interna)"/>
    <s v="GAQ"/>
    <m/>
    <n v="1"/>
    <n v="0"/>
    <n v="0"/>
  </r>
  <r>
    <x v="0"/>
    <x v="1"/>
    <s v="Implementação de Sistemas de Gestão de Segurança da Informação – ISSO IEC 27001:2013 (APCER)"/>
    <s v="GAQ"/>
    <m/>
    <n v="1"/>
    <n v="90"/>
    <n v="90"/>
  </r>
  <r>
    <x v="0"/>
    <x v="1"/>
    <s v="Outras (sem custos que possam ser disponibilizadas durante o ano e cuja inscrição irá ocorrer no segundo e terceiro trimestre)"/>
    <s v="GAQ"/>
    <m/>
    <m/>
    <m/>
    <n v="0"/>
  </r>
  <r>
    <x v="0"/>
    <x v="1"/>
    <s v="Como implemntar a Norma ISO 9001:2015 (16 horas)"/>
    <m/>
    <m/>
    <n v="3"/>
    <n v="220"/>
    <n v="660"/>
  </r>
  <r>
    <x v="0"/>
    <x v="1"/>
    <s v="Como implemntar a Norma ISO 27001:2013 (16 horas)"/>
    <m/>
    <m/>
    <n v="2"/>
    <n v="220"/>
    <n v="440"/>
  </r>
  <r>
    <x v="0"/>
    <x v="1"/>
    <s v="Auditorias Internas - Formação Inicial de Auditores (40Horas)"/>
    <m/>
    <m/>
    <n v="1"/>
    <n v="585"/>
    <n v="585"/>
  </r>
  <r>
    <x v="0"/>
    <x v="2"/>
    <s v="Vencimento com 2 novos elementos (Técnico Superior e Assistente Técnico)"/>
    <s v="GAQ"/>
    <m/>
    <n v="2"/>
    <m/>
    <n v="0"/>
  </r>
  <r>
    <x v="0"/>
    <x v="0"/>
    <s v="Visitas da CAE/A3ES_x000a_Coffee break e almoços  de 5 dias (3+2) com 3 almoços para 20 pessoas cada; 10 coffee break para 5 pessoas cada]"/>
    <s v="GAQ"/>
    <m/>
    <n v="1"/>
    <n v="950"/>
    <n v="950"/>
  </r>
  <r>
    <x v="1"/>
    <x v="1"/>
    <s v="Introdução à Administração Windows 2016 (WINDOWS SERVER 2016) "/>
    <m/>
    <s v="30Horas"/>
    <n v="4"/>
    <n v="400"/>
    <n v="1600"/>
  </r>
  <r>
    <x v="1"/>
    <x v="1"/>
    <s v="GESTÃO DA SEGURANÇA DA INFORMAÇÃO (ISO 27001 E 27002) "/>
    <m/>
    <s v="18Horas"/>
    <n v="2"/>
    <n v="200"/>
    <n v="400"/>
  </r>
  <r>
    <x v="1"/>
    <x v="1"/>
    <s v="SEGURANÇA DA INFORMAÇÃO: GESTÃO DE RISCO DE TI "/>
    <m/>
    <s v="18Horas"/>
    <n v="3"/>
    <n v="200"/>
    <n v="600"/>
  </r>
  <r>
    <x v="1"/>
    <x v="1"/>
    <s v="SEGURANÇA DA INFORMAÇÃO: SOLUÇÕES TÉCNICAS "/>
    <m/>
    <s v="30Horas"/>
    <n v="3"/>
    <n v="400"/>
    <n v="1200"/>
  </r>
  <r>
    <x v="1"/>
    <x v="1"/>
    <s v="SEGURANÇA DA INFORMAÇÃO: SEGMENTAÇÃO DE REDES IP "/>
    <m/>
    <s v="30Horas"/>
    <n v="3"/>
    <n v="400"/>
    <n v="1200"/>
  </r>
  <r>
    <x v="1"/>
    <x v="1"/>
    <s v="BASE DE DADOS (MODELO RELACIONAL E LINGUAGEM SQL)"/>
    <m/>
    <s v="60Horas"/>
    <n v="4"/>
    <n v="700"/>
    <n v="2800"/>
  </r>
  <r>
    <x v="1"/>
    <x v="1"/>
    <s v="AUTOMATIZAÇÃO DE PROCESSOS ADMINISTRATIVOS: DA UTILIZAÇÃO DO OFFICE ÀS FERRAMENTAS WORKFLOW"/>
    <m/>
    <s v="28Horas"/>
    <n v="1"/>
    <n v="300"/>
    <n v="300"/>
  </r>
  <r>
    <x v="1"/>
    <x v="1"/>
    <s v="CRIAÇÃO E PUBLICAÇÃO DE CONTEÚDOS PARA WEB COM HTML"/>
    <m/>
    <s v="30Horas"/>
    <n v="1"/>
    <n v="380"/>
    <n v="380"/>
  </r>
  <r>
    <x v="1"/>
    <x v="1"/>
    <s v="PROGRAMA DE FORMAÇÃO EM GESTÃO PÚBLICA (FORGEP)"/>
    <m/>
    <s v="120Horas"/>
    <n v="1"/>
    <n v="1600"/>
    <n v="1600"/>
  </r>
  <r>
    <x v="1"/>
    <x v="1"/>
    <s v="VMware Horizon 7: Install, Configure, Manage "/>
    <m/>
    <s v="40Horas"/>
    <n v="2"/>
    <n v="2750"/>
    <n v="5500"/>
  </r>
  <r>
    <x v="1"/>
    <x v="1"/>
    <s v="VMware vRealize Automation: Install, Configure, Manage"/>
    <m/>
    <s v="40Horas"/>
    <n v="2"/>
    <n v="2500"/>
    <n v="5000"/>
  </r>
  <r>
    <x v="1"/>
    <x v="1"/>
    <s v="VMware vSAN: Deploy and Manage"/>
    <m/>
    <s v="24Horas"/>
    <n v="2"/>
    <n v="1500"/>
    <n v="3000"/>
  </r>
  <r>
    <x v="1"/>
    <x v="1"/>
    <s v="VMware vSphere: Install, Configure, Manage "/>
    <m/>
    <s v="40Horas"/>
    <n v="2"/>
    <n v="2750"/>
    <n v="5500"/>
  </r>
  <r>
    <x v="1"/>
    <x v="1"/>
    <s v="Enabling and Managing Office 365"/>
    <m/>
    <s v="35Horas"/>
    <n v="3"/>
    <n v="1670"/>
    <n v="5010"/>
  </r>
  <r>
    <x v="1"/>
    <x v="1"/>
    <s v="Office 365 Administration and Troubleshooting"/>
    <m/>
    <s v="21Horas"/>
    <n v="3"/>
    <n v="1170"/>
    <n v="3510"/>
  </r>
  <r>
    <x v="1"/>
    <x v="1"/>
    <s v="INGLÊS PARA APRESENTAÇÕES E CONVERSA"/>
    <m/>
    <s v="35Horas"/>
    <n v="1"/>
    <n v="400"/>
    <n v="400"/>
  </r>
  <r>
    <x v="1"/>
    <x v="1"/>
    <s v="WINDOWS: ADMINISTRAÇÃO"/>
    <m/>
    <s v="18Horas"/>
    <n v="2"/>
    <n v="200"/>
    <n v="400"/>
  </r>
  <r>
    <x v="1"/>
    <x v="3"/>
    <s v="EPUBLICA -  Recursos Humanos - Uniksystem - bolsa 320h"/>
    <m/>
    <s v="Anual"/>
    <n v="1"/>
    <n v="22386"/>
    <n v="22386"/>
  </r>
  <r>
    <x v="1"/>
    <x v="3"/>
    <s v="Serviço SMS"/>
    <m/>
    <s v="Anual"/>
    <n v="1"/>
    <n v="200"/>
    <n v="200"/>
  </r>
  <r>
    <x v="1"/>
    <x v="3"/>
    <s v="Certificados web dominios ISEL e geração de outros ilimitados"/>
    <m/>
    <s v="Anual"/>
    <n v="1"/>
    <n v="500"/>
    <n v="500"/>
  </r>
  <r>
    <x v="1"/>
    <x v="3"/>
    <s v="Renovação Suporte Licenciamento Vmware - Contrato nº 432868615"/>
    <m/>
    <s v="Anual"/>
    <n v="1"/>
    <n v="2038.88"/>
    <n v="2038.88"/>
  </r>
  <r>
    <x v="1"/>
    <x v="3"/>
    <s v="PI - Software de Assiduidade - Contrato Manutenção e Suporte"/>
    <m/>
    <s v="Anual"/>
    <n v="1"/>
    <n v="2200"/>
    <n v="2200"/>
  </r>
  <r>
    <x v="1"/>
    <x v="3"/>
    <s v="Programa de Gestão de Economato - T&amp;T  a)"/>
    <m/>
    <s v="Anual"/>
    <n v="1"/>
    <n v="69.900000000000006"/>
    <n v="69.900000000000006"/>
  </r>
  <r>
    <x v="1"/>
    <x v="3"/>
    <s v="ArcGis"/>
    <m/>
    <s v="Anual"/>
    <n v="1"/>
    <n v="780"/>
    <n v="780"/>
  </r>
  <r>
    <x v="1"/>
    <x v="3"/>
    <s v="CST Studio Suite - CST"/>
    <m/>
    <s v="Anual"/>
    <n v="1"/>
    <n v="1280.5"/>
    <n v="1280.5"/>
  </r>
  <r>
    <x v="1"/>
    <x v="3"/>
    <s v="Europractive Cadence"/>
    <m/>
    <s v="Anual"/>
    <n v="1"/>
    <n v="2670"/>
    <n v="2670"/>
  </r>
  <r>
    <x v="1"/>
    <x v="3"/>
    <s v="SICStus Prolog"/>
    <m/>
    <s v="Anual"/>
    <n v="1"/>
    <n v="550"/>
    <n v="550"/>
  </r>
  <r>
    <x v="1"/>
    <x v="3"/>
    <s v="ANSYS"/>
    <m/>
    <s v="Anual"/>
    <n v="1"/>
    <n v="500"/>
    <n v="500"/>
  </r>
  <r>
    <x v="1"/>
    <x v="3"/>
    <s v="Arena"/>
    <m/>
    <s v="Anual"/>
    <n v="1"/>
    <n v="615"/>
    <n v="615"/>
  </r>
  <r>
    <x v="1"/>
    <x v="3"/>
    <s v="Catia Educacional - 5 licenças - Distrim"/>
    <m/>
    <s v="Anual"/>
    <n v="1"/>
    <n v="557.20000000000005"/>
    <n v="557.20000000000005"/>
  </r>
  <r>
    <x v="1"/>
    <x v="3"/>
    <s v="Siemens Simatic Step 7 Professional - 20 licenças/anuais após ativação"/>
    <m/>
    <s v="Anual"/>
    <n v="1"/>
    <n v="202.95"/>
    <n v="202.95"/>
  </r>
  <r>
    <x v="1"/>
    <x v="3"/>
    <s v="SolidWorks - 300 licenças - Sqédio"/>
    <m/>
    <s v="Anual"/>
    <n v="1"/>
    <n v="1500"/>
    <n v="1500"/>
  </r>
  <r>
    <x v="1"/>
    <x v="3"/>
    <s v="aspenONE for Universities - 150 licenças - Aspentech"/>
    <m/>
    <s v="Anual"/>
    <n v="1"/>
    <n v="2600"/>
    <n v="2600"/>
  </r>
  <r>
    <x v="1"/>
    <x v="3"/>
    <s v="Lab View - National Instruments"/>
    <m/>
    <s v="Anual"/>
    <n v="1"/>
    <n v="12571.83"/>
    <n v="12571.83"/>
  </r>
  <r>
    <x v="1"/>
    <x v="3"/>
    <s v="Aquisição AP's (substituição de equipamentos avariados)"/>
    <m/>
    <m/>
    <n v="10"/>
    <n v="100"/>
    <n v="1000"/>
  </r>
  <r>
    <x v="1"/>
    <x v="3"/>
    <s v="Aquisição 5 Switch de 48 portas 10/100/1000 com PoE (substituição de equipamentos avariados)"/>
    <m/>
    <m/>
    <n v="5"/>
    <n v="4754.2939999999999"/>
    <n v="23771.47"/>
  </r>
  <r>
    <x v="1"/>
    <x v="3"/>
    <s v="Aquisição10 SFP+  "/>
    <m/>
    <m/>
    <n v="10"/>
    <n v="448.95"/>
    <n v="4489.5"/>
  </r>
  <r>
    <x v="1"/>
    <x v="3"/>
    <s v="Aquisição 2 Router Mikrotik CCR1036-12G-4S  (VPN)"/>
    <m/>
    <m/>
    <n v="2"/>
    <n v="1000"/>
    <n v="2000"/>
  </r>
  <r>
    <x v="1"/>
    <x v="3"/>
    <s v="Aquisição de 30 Computadores (torres) e 10 Computadores (portáteis para renovação dos antigos que estão atribuidos aos dirigentes)"/>
    <m/>
    <m/>
    <n v="1"/>
    <n v="32500"/>
    <n v="32500"/>
  </r>
  <r>
    <x v="1"/>
    <x v="3"/>
    <s v="Mikrotik  CHR P-10 Router-OS LICENSE P-10"/>
    <m/>
    <m/>
    <n v="2"/>
    <n v="100"/>
    <n v="200"/>
  </r>
  <r>
    <x v="1"/>
    <x v="3"/>
    <s v="Sofware Anti-Virus/Anti-Malware Campus -200 licenças / 3 anos"/>
    <m/>
    <m/>
    <n v="1"/>
    <n v="0"/>
    <n v="0"/>
  </r>
  <r>
    <x v="1"/>
    <x v="3"/>
    <s v="Contrato de manutenção, assistência, reparação e cópia para 500 equipamentos de cópia e impressão - Ano - 810.000 preto/190.000 Cores, ao abrigo do contrato celebrado em 26 de Abril de 2017"/>
    <m/>
    <m/>
    <n v="1"/>
    <n v="0"/>
    <n v="0"/>
  </r>
  <r>
    <x v="1"/>
    <x v="3"/>
    <s v="Dominio ISEL.PT"/>
    <m/>
    <m/>
    <n v="1"/>
    <n v="0"/>
    <n v="0"/>
  </r>
  <r>
    <x v="1"/>
    <x v="3"/>
    <s v="Contrato Campus da Microsoft OVS/OS - Pago IPL "/>
    <m/>
    <m/>
    <n v="1"/>
    <n v="0"/>
    <n v="0"/>
  </r>
  <r>
    <x v="1"/>
    <x v="3"/>
    <s v="Microsoft MSDNAA/Dreamspark Premium 3 Anos - Microsoft"/>
    <m/>
    <m/>
    <n v="1"/>
    <n v="0"/>
    <n v="0"/>
  </r>
  <r>
    <x v="1"/>
    <x v="3"/>
    <s v="SIGES - Software Academico - Digitalis"/>
    <m/>
    <m/>
    <n v="1"/>
    <n v="0"/>
    <n v="0"/>
  </r>
  <r>
    <x v="1"/>
    <x v="3"/>
    <s v="ZoomText 10 - software especifico - Susana S.Técnicos"/>
    <m/>
    <m/>
    <n v="1"/>
    <n v="0"/>
    <n v="0"/>
  </r>
  <r>
    <x v="1"/>
    <x v="3"/>
    <s v="Matlab - Mathworks"/>
    <m/>
    <m/>
    <n v="1"/>
    <n v="0"/>
    <n v="0"/>
  </r>
  <r>
    <x v="1"/>
    <x v="2"/>
    <s v="Vencimento com 2 novos elementos (Especialista de Informática e Técnico de Informática)"/>
    <m/>
    <m/>
    <n v="2"/>
    <n v="0"/>
    <n v="0"/>
  </r>
  <r>
    <x v="2"/>
    <x v="1"/>
    <s v="SISTEMA DE ARQUIVO: A PRODUÇÃO, A ORGANIZAÇÃO E A AVALIAÇÃO (BAD - Assoc. Bibliot. Arquiv. Document.)"/>
    <s v="SDP"/>
    <m/>
    <n v="1"/>
    <n v="260"/>
    <n v="260"/>
  </r>
  <r>
    <x v="3"/>
    <x v="1"/>
    <s v="Excel"/>
    <s v="SDP"/>
    <m/>
    <n v="5"/>
    <n v="210"/>
    <n v="1050"/>
  </r>
  <r>
    <x v="3"/>
    <x v="1"/>
    <s v="Outras (sem custos que possam ser disponibilizadas durante o ano e cuja inscrição irá ocorrer no segundo e terceiro trimestre)"/>
    <s v="SDP"/>
    <m/>
    <m/>
    <m/>
    <n v="0"/>
  </r>
  <r>
    <x v="2"/>
    <x v="0"/>
    <s v="Organizar o arquivo histórico do ISEL (IIL e IICL):_x000a_Aquisição de estantes para a sala de Arquivo Histórico C-2.8(4)"/>
    <s v="SDP"/>
    <m/>
    <n v="1"/>
    <n v="5000"/>
    <n v="5000"/>
  </r>
  <r>
    <x v="2"/>
    <x v="0"/>
    <s v="Organizar os espaços de arquivo existente no campus do ISEL:_x000a_Implementação da RADA (Relatório de Avaliação da Documentação Acumulada) com a criação de um grupo de trabalho"/>
    <s v="SDP_x000a_(GRUPO DE TRABALHO)"/>
    <m/>
    <m/>
    <m/>
    <n v="0"/>
  </r>
  <r>
    <x v="2"/>
    <x v="0"/>
    <s v="Reforçar os Recursos Humanos do SDP na área de preservação do património museológico:_x000a_Efetuar candidadaturas ao IEFP para Contratos Emprego Inserção + (desempregados de longa duração)"/>
    <s v="SDP"/>
    <s v="Anual"/>
    <n v="12"/>
    <n v="220"/>
    <n v="2640"/>
  </r>
  <r>
    <x v="2"/>
    <x v="0"/>
    <s v="Preservar e divulgar as coleções os museológicas do ISEL:_x000a_A) Expor a coleção de Topografia (edifício C)._x000a_B) Rever o Protocolo/Convénio com o Museu Nacional de História Natural e da Ciência (MNHNC) e recuperar a coleção de Física para o ISEL._x000a_C) Criar grupos de trabalho para cada área temática de coleção a fim de efetuar descrições tecnicamente corretas._x000a_D) Recuperar os móveis antigos (do IIL e IICL) que estão espalhados pelo campus do ISEL e concentrá-los na sala E.1.34"/>
    <s v="SDP"/>
    <m/>
    <n v="100"/>
    <n v="25"/>
    <n v="2500"/>
  </r>
  <r>
    <x v="2"/>
    <x v="0"/>
    <s v="Organizar o funcionamento do SDP:_x000a_Apresentação dos procedimentos para aprovação_x000a_"/>
    <s v="SDP"/>
    <m/>
    <m/>
    <m/>
    <n v="0"/>
  </r>
  <r>
    <x v="2"/>
    <x v="0"/>
    <s v="Relatório de ID&amp;I 2017"/>
    <s v="CTC"/>
    <s v="Anual"/>
    <m/>
    <m/>
    <n v="0"/>
  </r>
  <r>
    <x v="2"/>
    <x v="0"/>
    <s v="IPCTN 2018"/>
    <s v="CTC"/>
    <s v="Anual"/>
    <m/>
    <m/>
    <n v="0"/>
  </r>
  <r>
    <x v="2"/>
    <x v="0"/>
    <s v="RENATES"/>
    <s v="SDP"/>
    <s v="Anual"/>
    <m/>
    <m/>
    <n v="0"/>
  </r>
  <r>
    <x v="2"/>
    <x v="0"/>
    <s v="Introdução da produção científica com filiação ISEL no Repositório Científico do IPL"/>
    <s v="SDP"/>
    <s v="Anual"/>
    <m/>
    <m/>
    <n v="0"/>
  </r>
  <r>
    <x v="2"/>
    <x v="0"/>
    <s v="Apoio à atividade de investigação no ISEL "/>
    <s v="SDP"/>
    <s v="Anual"/>
    <m/>
    <m/>
    <m/>
  </r>
  <r>
    <x v="4"/>
    <x v="1"/>
    <s v="ESPECIALIZADO DESIGN GRÁFICO"/>
    <m/>
    <m/>
    <n v="1"/>
    <n v="1395"/>
    <n v="1395"/>
  </r>
  <r>
    <x v="4"/>
    <x v="1"/>
    <s v="Fotografia"/>
    <m/>
    <m/>
    <n v="1"/>
    <n v="1260"/>
    <n v="1260"/>
  </r>
  <r>
    <x v="4"/>
    <x v="1"/>
    <s v="Design Editorial"/>
    <m/>
    <m/>
    <n v="2"/>
    <n v="1260"/>
    <n v="2520"/>
  </r>
  <r>
    <x v="4"/>
    <x v="1"/>
    <s v="Escrita Jornalística e Criativa"/>
    <m/>
    <m/>
    <n v="1"/>
    <n v="400"/>
    <n v="400"/>
  </r>
  <r>
    <x v="4"/>
    <x v="1"/>
    <s v="Web design"/>
    <m/>
    <m/>
    <n v="1"/>
    <n v="3024"/>
    <n v="3024"/>
  </r>
  <r>
    <x v="4"/>
    <x v="0"/>
    <s v="Aumento do engagement no Facebook (15% anual)"/>
    <m/>
    <m/>
    <m/>
    <m/>
    <n v="0"/>
  </r>
  <r>
    <x v="4"/>
    <x v="0"/>
    <s v="Aumento do número de seguidores da página do Facebook (15% anual)"/>
    <m/>
    <m/>
    <m/>
    <m/>
    <n v="0"/>
  </r>
  <r>
    <x v="4"/>
    <x v="0"/>
    <s v="Apresentação de relatório mensal com os indicadores gerais de desempenho nestas redes sociais (responsividade semanal da página, número de mensagens recebidas, número de seguidores, número de post publicados e eventos, dados demográficos seguidores)"/>
    <m/>
    <m/>
    <m/>
    <m/>
    <n v="0"/>
  </r>
  <r>
    <x v="4"/>
    <x v="0"/>
    <s v="Publicação e monitorização de campanhas promovidas, no Facebook e Instagram), em momentos estratégicos "/>
    <m/>
    <m/>
    <m/>
    <m/>
    <n v="0"/>
  </r>
  <r>
    <x v="4"/>
    <x v="0"/>
    <s v="Aumento do engagement (15% aumento anual) - Linkedin"/>
    <m/>
    <m/>
    <m/>
    <m/>
    <n v="0"/>
  </r>
  <r>
    <x v="4"/>
    <x v="0"/>
    <s v="Recuperação de 50% dos trabalhadores - Linkedin"/>
    <m/>
    <m/>
    <m/>
    <m/>
    <n v="0"/>
  </r>
  <r>
    <x v="4"/>
    <x v="0"/>
    <s v="Número de tweets por dia (2) - Twitter"/>
    <m/>
    <m/>
    <m/>
    <m/>
    <n v="0"/>
  </r>
  <r>
    <x v="4"/>
    <x v="0"/>
    <s v="Recuperação/criação até 30 de abril - Youtube"/>
    <m/>
    <m/>
    <m/>
    <m/>
    <n v="0"/>
  </r>
  <r>
    <x v="4"/>
    <x v="0"/>
    <s v="Número de publicações por semana (2 semanais) - Youtube"/>
    <m/>
    <m/>
    <m/>
    <m/>
    <n v="0"/>
  </r>
  <r>
    <x v="4"/>
    <x v="0"/>
    <s v="Apresentação até agosto de 2019 de duas propostas de entidades para criação de um site"/>
    <m/>
    <m/>
    <m/>
    <m/>
    <n v="0"/>
  </r>
  <r>
    <x v="4"/>
    <x v="0"/>
    <s v="Apresentação mensal dos indicadores de interação da agenda"/>
    <m/>
    <m/>
    <m/>
    <m/>
    <n v="0"/>
  </r>
  <r>
    <x v="4"/>
    <x v="0"/>
    <s v="Apresentação dos indicadores de interação da newsletter duas semanas após a expedição"/>
    <m/>
    <m/>
    <m/>
    <m/>
    <n v="0"/>
  </r>
  <r>
    <x v="4"/>
    <x v="0"/>
    <s v="Implementação até ao final do ano, em colaboração com a UCI, de uma plataforma de gestão dinâmica de conteúdos no canal TV"/>
    <m/>
    <m/>
    <m/>
    <m/>
    <n v="0"/>
  </r>
  <r>
    <x v="4"/>
    <x v="2"/>
    <s v="Bolseiro + Prestação de serviços"/>
    <m/>
    <m/>
    <n v="1"/>
    <n v="21950"/>
    <n v="21950"/>
  </r>
  <r>
    <x v="4"/>
    <x v="4"/>
    <s v="Licença Adobe"/>
    <m/>
    <m/>
    <n v="2"/>
    <n v="330"/>
    <n v="660"/>
  </r>
  <r>
    <x v="4"/>
    <x v="4"/>
    <s v="Campanhas pagas facebook+instagram"/>
    <m/>
    <m/>
    <n v="1"/>
    <n v="1500"/>
    <n v="1500"/>
  </r>
  <r>
    <x v="4"/>
    <x v="4"/>
    <s v="iPhone XS 256 GB"/>
    <m/>
    <m/>
    <n v="1"/>
    <n v="1349"/>
    <n v="1349"/>
  </r>
  <r>
    <x v="4"/>
    <x v="4"/>
    <s v="PC portátil"/>
    <m/>
    <m/>
    <n v="1"/>
    <n v="2000"/>
    <n v="2000"/>
  </r>
  <r>
    <x v="5"/>
    <x v="0"/>
    <s v="1 - VENCIMENTOS"/>
    <m/>
    <m/>
    <m/>
    <m/>
    <n v="0"/>
  </r>
  <r>
    <x v="5"/>
    <x v="0"/>
    <s v="Envio do report mensal relativo ao descongelamento na DGO (até dia 10)"/>
    <s v="SRH"/>
    <s v="Mensal"/>
    <m/>
    <m/>
    <n v="0"/>
  </r>
  <r>
    <x v="5"/>
    <x v="0"/>
    <s v="Envio do report mensal relativo à previsão de vencimentos no SIGO (até dia 15)"/>
    <s v="SRH"/>
    <s v="Mensal"/>
    <m/>
    <m/>
    <n v="0"/>
  </r>
  <r>
    <x v="5"/>
    <x v="0"/>
    <s v="Envio dos ficheiros de vencimentos (até 5 dias antes do pagamento)"/>
    <s v="SRH"/>
    <s v="Mensal"/>
    <m/>
    <m/>
    <n v="0"/>
  </r>
  <r>
    <x v="5"/>
    <x v="0"/>
    <s v="Guia da ADSE e Guia da CGA (até ao dia de pagamento dos vencimentos)"/>
    <s v="SRH"/>
    <s v="Mensal"/>
    <m/>
    <m/>
    <n v="0"/>
  </r>
  <r>
    <x v="5"/>
    <x v="0"/>
    <s v="Guia do IRS e penhoras DGCI (no primeiro dia útil do mês n+1)"/>
    <s v="SRH"/>
    <s v="Mensal"/>
    <m/>
    <m/>
    <n v="0"/>
  </r>
  <r>
    <x v="5"/>
    <x v="0"/>
    <s v="Reporte dos ficheiros da Segurança Social (até dia 10 do mês n+1)"/>
    <s v="SRH"/>
    <s v="Mensal"/>
    <m/>
    <m/>
    <n v="0"/>
  </r>
  <r>
    <x v="5"/>
    <x v="0"/>
    <s v="Guia da Segurança Social (de dia 10 de n+1 até dia 20 de n+1)"/>
    <s v="SRH"/>
    <s v="Mensal"/>
    <m/>
    <m/>
    <n v="0"/>
  </r>
  <r>
    <x v="5"/>
    <x v="0"/>
    <s v="Restantes guias dos descontos vencimentos Contabilidade (dia seguinte ao envio dos ficheiros vencimentos)"/>
    <s v="SRH"/>
    <s v="Mensal"/>
    <m/>
    <m/>
    <n v="0"/>
  </r>
  <r>
    <x v="5"/>
    <x v="0"/>
    <s v="Preenchimento dos dados dos Indicadores de apoio à gestão (até 5º dia útil do mês n+1)"/>
    <s v="SRH"/>
    <s v="Mensal"/>
    <m/>
    <m/>
    <n v="0"/>
  </r>
  <r>
    <x v="5"/>
    <x v="0"/>
    <s v="Modelo 10 (até dia 31)"/>
    <s v="SRH"/>
    <s v="Anual"/>
    <m/>
    <m/>
    <n v="0"/>
  </r>
  <r>
    <x v="5"/>
    <x v="0"/>
    <s v="Envio de documentos a entidades externas para a conta de gerência (até dia 30)"/>
    <s v="SRH"/>
    <s v="Anual"/>
    <m/>
    <m/>
    <n v="0"/>
  </r>
  <r>
    <x v="5"/>
    <x v="0"/>
    <s v="Atualização de escalões de abono de família (até dia 5)"/>
    <s v="SRH"/>
    <s v="Anual"/>
    <m/>
    <m/>
    <n v="0"/>
  </r>
  <r>
    <x v="5"/>
    <x v="0"/>
    <s v="Prova escolar abono de família (até dia 7)"/>
    <s v="SRH"/>
    <s v="Anual"/>
    <m/>
    <m/>
    <n v="0"/>
  </r>
  <r>
    <x v="5"/>
    <x v="0"/>
    <s v="Declarações de IRS (até dia 10 de fevereiro)"/>
    <s v="SRH"/>
    <s v="Anual"/>
    <m/>
    <m/>
    <n v="0"/>
  </r>
  <r>
    <x v="5"/>
    <x v="0"/>
    <s v="2 - ASSIDUIDADE"/>
    <s v="SRH"/>
    <m/>
    <m/>
    <m/>
    <n v="0"/>
  </r>
  <r>
    <x v="5"/>
    <x v="0"/>
    <s v="Verificação mensal e validação de assiduidade (até dia 5 do mês n+1)"/>
    <s v="Responsáveis de serviços/SRH"/>
    <s v="Mensal"/>
    <m/>
    <m/>
    <n v="0"/>
  </r>
  <r>
    <x v="5"/>
    <x v="0"/>
    <s v="Pedido de regularização de assiduidade (até dia 5 do mês n+1)"/>
    <s v="SRH"/>
    <s v="Mensal"/>
    <m/>
    <m/>
    <n v="0"/>
  </r>
  <r>
    <x v="5"/>
    <x v="0"/>
    <s v="Lançamento de faltas no E-pública (até dia 5 do mês n+1)"/>
    <s v="SRH"/>
    <s v="Mensal"/>
    <m/>
    <m/>
    <n v="0"/>
  </r>
  <r>
    <x v="5"/>
    <x v="0"/>
    <s v="Elaboração do mapa anual de assiduidade (até dia 31 de janeiro do ano n+1)"/>
    <s v="SRH"/>
    <s v="Anual"/>
    <m/>
    <m/>
    <n v="0"/>
  </r>
  <r>
    <x v="5"/>
    <x v="0"/>
    <s v="3 - DESPESAS ADSE"/>
    <s v="SRH"/>
    <m/>
    <m/>
    <m/>
    <n v="0"/>
  </r>
  <r>
    <x v="5"/>
    <x v="0"/>
    <s v="Lançamento de despesas da ADSE no site e posterior envio, ocorrendo este envio quando há o fecho de um lote de envio"/>
    <s v="SRH/SECRETARIADO DA PRESIDÊNCIA"/>
    <s v="Mensal"/>
    <m/>
    <m/>
    <n v="0"/>
  </r>
  <r>
    <x v="5"/>
    <x v="0"/>
    <s v="4 - BALANÇO SOCIAL"/>
    <s v="SRH"/>
    <m/>
    <m/>
    <m/>
    <n v="0"/>
  </r>
  <r>
    <x v="5"/>
    <x v="0"/>
    <s v="Submissão do relatório até dia 31 de março"/>
    <s v="SRH"/>
    <s v="Anual"/>
    <m/>
    <m/>
    <n v="0"/>
  </r>
  <r>
    <x v="5"/>
    <x v="0"/>
    <s v="5 - INDEZ/REBIDES"/>
    <s v="SRH"/>
    <m/>
    <m/>
    <m/>
    <n v="0"/>
  </r>
  <r>
    <x v="5"/>
    <x v="0"/>
    <s v="Submissão do relatório até dia 31 de maio na DGEEC"/>
    <s v="SRH"/>
    <s v="Anual"/>
    <m/>
    <m/>
    <n v="0"/>
  </r>
  <r>
    <x v="5"/>
    <x v="0"/>
    <s v="6 - SIOE"/>
    <s v="SRH"/>
    <m/>
    <m/>
    <m/>
    <n v="0"/>
  </r>
  <r>
    <x v="5"/>
    <x v="0"/>
    <s v="Submissão do relatório até dia 15 do mês seguinte ao trimestre"/>
    <s v="SRH"/>
    <s v="Trimestral"/>
    <m/>
    <m/>
    <n v="0"/>
  </r>
  <r>
    <x v="5"/>
    <x v="0"/>
    <s v="7 - Recrutamento e Seleção"/>
    <s v="SRH"/>
    <m/>
    <m/>
    <m/>
    <n v="0"/>
  </r>
  <r>
    <x v="5"/>
    <x v="0"/>
    <s v="Análise e descrição de funções (ADFPT) de cada um dos postos de trabalho"/>
    <s v="SRH"/>
    <m/>
    <m/>
    <m/>
    <n v="0"/>
  </r>
  <r>
    <x v="5"/>
    <x v="0"/>
    <s v="Construção do modelo de ficha de registo ADFPT"/>
    <s v="SRH"/>
    <m/>
    <m/>
    <m/>
    <n v="0"/>
  </r>
  <r>
    <x v="5"/>
    <x v="0"/>
    <s v="Construção do modelo de ficha de entrevista ADFPT"/>
    <s v="SRH"/>
    <m/>
    <m/>
    <m/>
    <n v="0"/>
  </r>
  <r>
    <x v="5"/>
    <x v="0"/>
    <s v="Divulgação das fichas de registo ADFPT pelas chefias e preenchimento das mesmas"/>
    <s v="SRH"/>
    <m/>
    <m/>
    <m/>
    <n v="0"/>
  </r>
  <r>
    <x v="5"/>
    <x v="0"/>
    <s v="Realização das entrevistas com trabalhadores (5/8 por semana)"/>
    <s v="SRH/Trabalhadores"/>
    <s v="Mensal"/>
    <m/>
    <m/>
    <n v="0"/>
  </r>
  <r>
    <x v="5"/>
    <x v="0"/>
    <s v="Realização das entrevistas com chefias (1/2 por mês)"/>
    <s v="Responsáveis de serviços/SRH"/>
    <s v="Mensal"/>
    <m/>
    <m/>
    <n v="0"/>
  </r>
  <r>
    <x v="5"/>
    <x v="2"/>
    <s v="Definição junto de cada responsável de Área Departamental/Serviço quais as necessidades para o futuro (um processo evolutivo de gestão previsional)"/>
    <s v="Presidência/AD/SRH"/>
    <s v="Anual"/>
    <m/>
    <m/>
    <n v="0"/>
  </r>
  <r>
    <x v="5"/>
    <x v="0"/>
    <s v="Docentes – pensar nas principais áreas de reforço/recrutamento em maio do ano letivo anterior e qual a forma de recrutamento se tempo indeterminado ou se termo certo, bem como a percentagem ou tipo de dedicação perante o ISEL"/>
    <s v="Presidência/AD/SRH"/>
    <s v="Anual"/>
    <m/>
    <m/>
    <n v="0"/>
  </r>
  <r>
    <x v="5"/>
    <x v="0"/>
    <s v="Não docentes – em maio do ano anterior definição das principais áreas de reforço / recrutamento, bem como a definição se por tempo indeterminado, se por mobilidade interna"/>
    <s v="Presidência/Serviços/SRH"/>
    <s v="Anual"/>
    <m/>
    <m/>
    <n v="0"/>
  </r>
  <r>
    <x v="5"/>
    <x v="2"/>
    <s v="Definição e divulgação das principais áreas de recrutamento de novos colaboradores (docentes e não docentes)"/>
    <s v="Presidência/Serviços/SRH"/>
    <s v="Anual"/>
    <m/>
    <m/>
    <n v="0"/>
  </r>
  <r>
    <x v="5"/>
    <x v="0"/>
    <s v="Idealizar e implementar até abril um espaço comum de divulgação e receção de candidaturas a necessidades permanentes (site do ISEL)"/>
    <s v="GCOM/SRH"/>
    <m/>
    <m/>
    <m/>
    <n v="0"/>
  </r>
  <r>
    <x v="5"/>
    <x v="0"/>
    <s v="Criar alertas no site, até maio de 2019, para as áreas específicas de recrutamento"/>
    <s v="GCOM/SRH"/>
    <m/>
    <m/>
    <m/>
    <n v="0"/>
  </r>
  <r>
    <x v="5"/>
    <x v="0"/>
    <s v="Estruturar, até setembro de 2019, o desenho de processos de recrutamento não só para o imediato mas também a 2/3 anos"/>
    <s v="Presidência/SRH"/>
    <m/>
    <m/>
    <m/>
    <n v="0"/>
  </r>
  <r>
    <x v="5"/>
    <x v="0"/>
    <s v="Envio de propostas de contratações de docentes para 2019/2020"/>
    <s v="Presidência/SRH"/>
    <s v="Anual"/>
    <m/>
    <m/>
    <n v="0"/>
  </r>
  <r>
    <x v="5"/>
    <x v="0"/>
    <s v="8 - Avaliação de Desempenho"/>
    <s v="SRH"/>
    <m/>
    <m/>
    <m/>
    <n v="0"/>
  </r>
  <r>
    <x v="6"/>
    <x v="5"/>
    <s v="Processo avaliativo do Biénio 2017/2018 e 2019/2020"/>
    <s v="Presidência/Serviços/SRH"/>
    <s v="Bienal"/>
    <m/>
    <m/>
    <m/>
  </r>
  <r>
    <x v="5"/>
    <x v="0"/>
    <s v="Relatório do Processo de avaliação de desempenho dos trabalhadores não docentes (em data a indicar pela SGMEC)"/>
    <s v="Presidência/SRH"/>
    <s v="Bienal"/>
    <m/>
    <m/>
    <n v="0"/>
  </r>
  <r>
    <x v="5"/>
    <x v="2"/>
    <s v="Novo referencial do processo de avaliação de desempenho"/>
    <s v="Presidência/SRH"/>
    <m/>
    <m/>
    <m/>
    <n v="0"/>
  </r>
  <r>
    <x v="5"/>
    <x v="0"/>
    <s v="Estruturar guias/ferramentas de apoio ao processo avaliativo"/>
    <s v="SRH"/>
    <m/>
    <m/>
    <m/>
    <n v="0"/>
  </r>
  <r>
    <x v="5"/>
    <x v="0"/>
    <s v="Promovendo ações de formação / sensibilização sobre os processos de avaliação de desempenho"/>
    <s v="SRH"/>
    <m/>
    <m/>
    <m/>
    <n v="0"/>
  </r>
  <r>
    <x v="5"/>
    <x v="0"/>
    <s v="Identificar e divulgar/clarificar quais os critérios de superação nos diferentes processos – até julho de 2019"/>
    <s v="Presidência/CAVISEL/SRH"/>
    <s v="Bienal"/>
    <m/>
    <m/>
    <n v="0"/>
  </r>
  <r>
    <x v="5"/>
    <x v="0"/>
    <s v="Implementar medidas de apoio à correção de desvios na avaliação, reforçando a importância do processo de monitorização"/>
    <s v="SRH"/>
    <s v="Anual"/>
    <m/>
    <m/>
    <n v="0"/>
  </r>
  <r>
    <x v="5"/>
    <x v="0"/>
    <s v="Identificar os limiares de avaliação a partir dos quais se torna necessário proceder à elaboração de planos de desenvolvimento/melhoria, os quais são construídos com responsável de Área Departamental/ Serviço - definição de cada plano até um mês após identificada a necessidade"/>
    <s v="Presidência/CAVISEL/SRH"/>
    <m/>
    <m/>
    <m/>
    <n v="0"/>
  </r>
  <r>
    <x v="5"/>
    <x v="0"/>
    <s v="9 - FORMAÇÃO"/>
    <s v="SRH"/>
    <m/>
    <m/>
    <m/>
    <n v="0"/>
  </r>
  <r>
    <x v="5"/>
    <x v="0"/>
    <s v="Aposta na formação que incida no foco"/>
    <s v="SRH"/>
    <m/>
    <m/>
    <m/>
    <n v="0"/>
  </r>
  <r>
    <x v="5"/>
    <x v="0"/>
    <s v="Formação de base / inicial no processo de integração (pacote de boas vindas) construído em colaboração com diferentes Serviços e não apenas com o Serviço onde o novo colaborador será integrado – até maio de 2019 construir um pacote comum formativo em conjunto com os diferentes serviços do ISEL"/>
    <s v="Responsáveis de serviços/SRH"/>
    <m/>
    <m/>
    <m/>
    <n v="0"/>
  </r>
  <r>
    <x v="5"/>
    <x v="0"/>
    <s v="Formação contínua/melhoria, visando a resolução/redução do GAP entre o posto de trabalho existente e o futuro, ou preparação para um novo posto de trabalho – avaliação até final de julho de 2019 com os responsáveis de serviço quais as reais necessidades em concreto"/>
    <s v="Responsáveis de serviços/SRH"/>
    <m/>
    <m/>
    <m/>
    <n v="0"/>
  </r>
  <r>
    <x v="5"/>
    <x v="0"/>
    <s v="Investimento em novas formas de obtenção e disponibilização de formação"/>
    <s v="SRH"/>
    <m/>
    <m/>
    <m/>
    <n v="0"/>
  </r>
  <r>
    <x v="5"/>
    <x v="0"/>
    <s v="Identificação e estruturação de um pool de formadores internos – primeiro trimestre de 2019"/>
    <s v="Presidência/SRH"/>
    <m/>
    <m/>
    <m/>
    <n v="0"/>
  </r>
  <r>
    <x v="5"/>
    <x v="0"/>
    <s v="Identificação junto com a Presidência de quais as potenciais parecerias/protocolos os quais se traduzam em 2019 em participantes em ações de formação – primeiro trimestre de 2019"/>
    <s v="Presidência/SRH"/>
    <m/>
    <m/>
    <m/>
    <n v="0"/>
  </r>
  <r>
    <x v="5"/>
    <x v="0"/>
    <s v="Definição e investimento em áreas chave formação que visem a melhoria dos serviços disponibilizados – primeiro trimestre de 2019"/>
    <s v="Presidência/SRH"/>
    <m/>
    <m/>
    <m/>
    <n v="0"/>
  </r>
  <r>
    <x v="5"/>
    <x v="0"/>
    <s v="Ações de capacitação técnica ou sensibilização – estruturação e implementação no segundo semestre de 2019"/>
    <s v="Responsáveis de serviços/SRH"/>
    <m/>
    <m/>
    <m/>
    <n v="0"/>
  </r>
  <r>
    <x v="5"/>
    <x v="0"/>
    <s v="Submissão do Relatório Anual de Formação até dia a indicar pelo INA (durante 1.º semestre)"/>
    <s v="SRH"/>
    <m/>
    <m/>
    <m/>
    <n v="0"/>
  </r>
  <r>
    <x v="5"/>
    <x v="0"/>
    <s v="10 - DESENVOLVIMENTO"/>
    <s v="SRH"/>
    <m/>
    <m/>
    <m/>
    <n v="0"/>
  </r>
  <r>
    <x v="5"/>
    <x v="0"/>
    <s v="Aposta no processo de acolhimento e integração dos trabalhadores"/>
    <s v="SRH"/>
    <m/>
    <m/>
    <m/>
    <n v="0"/>
  </r>
  <r>
    <x v="5"/>
    <x v="0"/>
    <s v="Reunião com o trabalhador no primeiro dia de funções, e apresentação do ISEL com a visita aos diferentes serviços e espaços do ISEL"/>
    <s v="SRH/SRE/Serviço destino"/>
    <m/>
    <m/>
    <m/>
    <n v="0"/>
  </r>
  <r>
    <x v="5"/>
    <x v="0"/>
    <s v="Formação de base / inicial no processo de integração (pacote de boas vindas) construído em colaboração com diferentes Serviços e não apenas com o Serviço onde o novo colaborador será integrado – até maio de 2019 construir um pacote comum formativo em conjunto com os diferentes serviços do ISEL"/>
    <s v="Responsáveis de serviços/SRH"/>
    <m/>
    <m/>
    <m/>
    <n v="0"/>
  </r>
  <r>
    <x v="5"/>
    <x v="0"/>
    <s v="Reunião um mês após o início de funções, em exclusivo com o Presidente e respetivo trabalhador dos Recursos Humanos que está encarregue como gestor de processo individual, onde se aborda os pontos fortes e fracos da integração e se procura melhorar ou ir de encontro às expetativas do trabalhador"/>
    <s v="Presidente/gestor do PI"/>
    <m/>
    <m/>
    <m/>
    <n v="0"/>
  </r>
  <r>
    <x v="5"/>
    <x v="0"/>
    <s v="Reunião até um mês antes do término do período experimental/concretização da consolidação da mobilidade, com vista a apresentar, ao avaliador do período experimental, responsável do serviço, Presidente e responsável dos RH, relatório que será entregue efeitos conclusão do período experimental com especial foco no o trabalho que foi desenvolvido e propostas de melhoria."/>
    <s v="Avaliador do período experimental, responsável do serviço, Presidente e responsável dos RH"/>
    <m/>
    <m/>
    <m/>
    <n v="0"/>
  </r>
  <r>
    <x v="5"/>
    <x v="0"/>
    <s v="Aposta no Desenvolvimento pessoal e profissional dos  colaboradores"/>
    <s v="SRH"/>
    <m/>
    <m/>
    <m/>
    <n v="0"/>
  </r>
  <r>
    <x v="5"/>
    <x v="0"/>
    <s v="Procurar através das entrevistas de análise de postos de trabalho, identificar objetivos ou expetativas que cada trabalhador procura alcançar na sua situação pessoal ou profissional no ISEL "/>
    <s v="Presidência/SRH"/>
    <m/>
    <m/>
    <m/>
    <n v="0"/>
  </r>
  <r>
    <x v="5"/>
    <x v="0"/>
    <s v="Estruturar o desenvolvimento de ações de capacitação técnica ou sensibilização – estruturação e implementação no segundo semestre de 2019"/>
    <s v="Responsáveis de serviços/SRH"/>
    <m/>
    <m/>
    <m/>
    <n v="0"/>
  </r>
  <r>
    <x v="5"/>
    <x v="0"/>
    <s v="Aposta em formação direcionada com o objetivo de apoiar o início de novas funções/atribuições, de forma a alavancar os processos de mudança internos ou colaboração inter-serviços– definição de cada plano até um mês após identificada a necessidade"/>
    <s v="Responsáveis de serviços/SRH"/>
    <m/>
    <m/>
    <m/>
    <n v="0"/>
  </r>
  <r>
    <x v="5"/>
    <x v="0"/>
    <s v="Plano de Desenvolvimento,  construído com atual ou futuro responsável de Área Departamental/ Serviço que vise apoiar o enquadramento do que é o esperado de cada colaborador que se identifique como sendo necessária uma intervenção – definição de cada plano até um mês após identificada a necessidade"/>
    <s v="Responsáveis de serviços/SRH"/>
    <m/>
    <m/>
    <m/>
    <n v="0"/>
  </r>
  <r>
    <x v="5"/>
    <x v="1"/>
    <s v="Lei Geral do Trabalho em Funções Públicas "/>
    <s v="SRH"/>
    <m/>
    <n v="2"/>
    <n v="280"/>
    <n v="560"/>
  </r>
  <r>
    <x v="5"/>
    <x v="1"/>
    <s v="Vantagens e armadilhas das medidas de desempenho"/>
    <s v="SRH"/>
    <m/>
    <n v="1"/>
    <n v="200"/>
    <n v="200"/>
  </r>
  <r>
    <x v="5"/>
    <x v="1"/>
    <s v="Metodologia para Avaliação de Competências no âmbito do SIADAP 3"/>
    <s v="SRH"/>
    <m/>
    <n v="1"/>
    <n v="140"/>
    <n v="140"/>
  </r>
  <r>
    <x v="5"/>
    <x v="1"/>
    <s v="Inovação estratégica e inteligência competitiva"/>
    <s v="SRH"/>
    <m/>
    <n v="1"/>
    <n v="400"/>
    <n v="400"/>
  </r>
  <r>
    <x v="5"/>
    <x v="1"/>
    <s v="Desenho e implementação de indicadores de apoio à decisão"/>
    <s v="SRH"/>
    <m/>
    <n v="1"/>
    <n v="140"/>
    <n v="140"/>
  </r>
  <r>
    <x v="5"/>
    <x v="1"/>
    <s v="Código do Procedimento administrativo para Não Juristas "/>
    <s v="SRH"/>
    <m/>
    <n v="2"/>
    <n v="210"/>
    <n v="420"/>
  </r>
  <r>
    <x v="5"/>
    <x v="1"/>
    <s v="Processamento de Vencimentos e Ajudas de Custo"/>
    <s v="SRH"/>
    <m/>
    <n v="3"/>
    <n v="280"/>
    <n v="840"/>
  </r>
  <r>
    <x v="5"/>
    <x v="1"/>
    <s v="Parentalidade: A Proteção na Maternidade, Paternidade e Adoção "/>
    <s v="SRH"/>
    <m/>
    <n v="1"/>
    <n v="210"/>
    <n v="210"/>
  </r>
  <r>
    <x v="5"/>
    <x v="1"/>
    <s v="Proteção Social dos trabalhadores em Funções Publicas"/>
    <s v="SRH"/>
    <m/>
    <n v="1"/>
    <n v="140"/>
    <n v="140"/>
  </r>
  <r>
    <x v="5"/>
    <x v="1"/>
    <s v="Excel – Nível Intermédio "/>
    <s v="SRH"/>
    <m/>
    <n v="5"/>
    <n v="140"/>
    <n v="700"/>
  </r>
  <r>
    <x v="5"/>
    <x v="1"/>
    <s v="Otimização e Gestão de Dados em Excel "/>
    <s v="SRH"/>
    <m/>
    <n v="2"/>
    <n v="280"/>
    <n v="560"/>
  </r>
  <r>
    <x v="5"/>
    <x v="1"/>
    <s v="Regime de Proteção nos Acidentes de Trabalho e Doenças Profissionais "/>
    <s v="SRH"/>
    <m/>
    <n v="3"/>
    <n v="280"/>
    <n v="840"/>
  </r>
  <r>
    <x v="5"/>
    <x v="1"/>
    <s v="Regime de Pensões dos Trabalhadores em Funções Públicas "/>
    <s v="SRH"/>
    <m/>
    <n v="2"/>
    <n v="210"/>
    <n v="420"/>
  </r>
  <r>
    <x v="5"/>
    <x v="1"/>
    <s v="Assiduidade, Pontualidade e Trabalho Extraordinário e suplementar na AP"/>
    <s v="SRH"/>
    <m/>
    <n v="3"/>
    <n v="210"/>
    <n v="630"/>
  </r>
  <r>
    <x v="5"/>
    <x v="1"/>
    <s v="Regime de férias faltas e licenças "/>
    <s v="SRH"/>
    <m/>
    <n v="1"/>
    <n v="210"/>
    <n v="210"/>
  </r>
  <r>
    <x v="5"/>
    <x v="1"/>
    <s v="Contabilidade Analítica "/>
    <s v="SRH"/>
    <m/>
    <n v="1"/>
    <n v="210"/>
    <n v="210"/>
  </r>
  <r>
    <x v="7"/>
    <x v="0"/>
    <s v="Normas - Projeto Normas online na rede ISEL - repositório do ISEL para normas e possivelmente estendido a outros documentos - desenvolvimento de plataforma e sua implementação"/>
    <s v="BISEL"/>
    <m/>
    <m/>
    <m/>
    <m/>
  </r>
  <r>
    <x v="7"/>
    <x v="0"/>
    <s v="Uniformização das dissertações  - Projeto das Dissertações, escrita online, entrega direta em formato digital - desenvolvimento de plataforma e sua implementação"/>
    <s v="BISEL"/>
    <m/>
    <m/>
    <m/>
    <m/>
  </r>
  <r>
    <x v="7"/>
    <x v="0"/>
    <s v="Bibliografia recomendada - Criação de listagens de consulta da bibliografia recomendada"/>
    <s v="BISEL"/>
    <m/>
    <m/>
    <m/>
    <m/>
  </r>
  <r>
    <x v="7"/>
    <x v="0"/>
    <s v="Assinaturas de PP's - registo das assinaturas no Koha "/>
    <s v="BISEL"/>
    <m/>
    <m/>
    <m/>
    <m/>
  </r>
  <r>
    <x v="7"/>
    <x v="0"/>
    <s v="Sistema de Inventário - criação de etiquetas do tipo QRC -  Quick Response Code e colocação nos livros, de modo a facilitar o inventário através da leitura destes códigos"/>
    <s v="BISEL"/>
    <m/>
    <m/>
    <m/>
    <m/>
  </r>
  <r>
    <x v="7"/>
    <x v="0"/>
    <s v="Recodificação dos livros (CDU - Código de Classificação Universal) e consequente reorganização das estantes"/>
    <s v="BISEL"/>
    <m/>
    <m/>
    <m/>
    <m/>
  </r>
  <r>
    <x v="7"/>
    <x v="0"/>
    <s v="Criação e organização de depósito/arquivo dos livros menos requisitados ou com vários exemplares, libertando espaço nas estantes "/>
    <s v="BISEL"/>
    <m/>
    <m/>
    <m/>
    <m/>
  </r>
  <r>
    <x v="7"/>
    <x v="0"/>
    <s v="Inventário e catalogação da doação da Altice PT "/>
    <s v="BISEL"/>
    <m/>
    <m/>
    <m/>
    <m/>
  </r>
  <r>
    <x v="7"/>
    <x v="0"/>
    <s v="Inventário de livros para doação de livros de temáticas generalistas e sem interesse para o ISEL aoutras bibliotecas (por exemplo, Biblioteca de Marvila ou outras do IPL)"/>
    <s v="BISEL"/>
    <m/>
    <m/>
    <m/>
    <m/>
  </r>
  <r>
    <x v="7"/>
    <x v="0"/>
    <s v="Catalogação de normas adquiridas recentemente , bem como das existentes (em número muito elevado)"/>
    <s v="BISEL"/>
    <m/>
    <m/>
    <m/>
    <m/>
  </r>
  <r>
    <x v="7"/>
    <x v="0"/>
    <s v="Correções de catalogação no sitema Koha a realizar nos anos 2019 e 2020"/>
    <s v="BISEL"/>
    <m/>
    <m/>
    <m/>
    <m/>
  </r>
  <r>
    <x v="7"/>
    <x v="0"/>
    <s v="Transferência do fundo da BISEL localizado no arquivo dos RH, no edifício C para as estantes na sala de estudo e leitura reservados para esse efeito"/>
    <s v="BISEL"/>
    <m/>
    <m/>
    <m/>
    <m/>
  </r>
  <r>
    <x v="7"/>
    <x v="1"/>
    <s v="Fátima Gonçalves - Introdução às Técnicas Documentais "/>
    <s v="BISEL"/>
    <m/>
    <m/>
    <m/>
    <s v="360,00€ - associados / 720,00€ não associados"/>
  </r>
  <r>
    <x v="7"/>
    <x v="1"/>
    <s v="Fátima Gonçalves - Possibilidade de formação na área de BAD, com equivalência ao 12º, por IEFP"/>
    <s v="BISEL"/>
    <m/>
    <m/>
    <m/>
    <m/>
  </r>
  <r>
    <x v="7"/>
    <x v="1"/>
    <s v="Carla Silva - Catalogação - nível avançado "/>
    <s v="BISEL"/>
    <m/>
    <m/>
    <m/>
    <s v="192,00€ - associados / 384,00€ não associados"/>
  </r>
  <r>
    <x v="7"/>
    <x v="1"/>
    <s v="Carla Silva - UNIMARC - Formato Autoridades"/>
    <s v="BISEL"/>
    <m/>
    <m/>
    <m/>
    <s v="144,00€ - associados / 288,00€ não associados"/>
  </r>
  <r>
    <x v="7"/>
    <x v="1"/>
    <s v="Sónia Gonçalves Mestre - Catalogação - nível avançado "/>
    <s v="BISEL"/>
    <m/>
    <m/>
    <m/>
    <s v="192,00€ - associados / 384,00€ não associados"/>
  </r>
  <r>
    <x v="7"/>
    <x v="1"/>
    <s v="Sónia Gonçaves Mestre - UNIMARC - Formato Autoridades"/>
    <s v="BISEL"/>
    <m/>
    <m/>
    <m/>
    <s v="144,00€ - associados / 288,00€ não associados"/>
  </r>
  <r>
    <x v="7"/>
    <x v="1"/>
    <s v="Fátima Gonçalves - Excel básico e intermédio"/>
    <s v="BISEL"/>
    <m/>
    <m/>
    <m/>
    <s v="210,00€ / 140,00€"/>
  </r>
  <r>
    <x v="7"/>
    <x v="1"/>
    <s v="Carla Silva - Excel básico e intermédio"/>
    <s v="BISEL"/>
    <m/>
    <m/>
    <m/>
    <s v="210,00€ / 140,00€"/>
  </r>
  <r>
    <x v="7"/>
    <x v="1"/>
    <s v="Sónia Gonçaves Mestre - Excel avançado"/>
    <s v="BISEL"/>
    <m/>
    <m/>
    <m/>
    <n v="140"/>
  </r>
  <r>
    <x v="7"/>
    <x v="6"/>
    <s v="Aquisição de 4 mesas e 30 cadeiras, forma de responder à falta de lugares, optimizando o espaço existente "/>
    <s v="BISEL"/>
    <m/>
    <m/>
    <m/>
    <s v="3042,00€ + IVA"/>
  </r>
  <r>
    <x v="7"/>
    <x v="6"/>
    <s v="BAD - Associação Portuguesa de Bibliotecários Arquivistas e Documentalistas - Regularização de quota de associado BAD - ano 2016 / Reinscrição de associado BAD - quota ano 2019"/>
    <s v="BISEL"/>
    <m/>
    <m/>
    <m/>
    <s v="180,00€ + 180,00€ = 360,00€"/>
  </r>
  <r>
    <x v="7"/>
    <x v="6"/>
    <s v="Aquisição de disco externo de 1Tb para cópia de segurança de todos os documentos digitais e salvaguarda das falhas de sistemas e servidores "/>
    <s v="BISEL"/>
    <m/>
    <m/>
    <m/>
    <s v="43,08€ + IVA"/>
  </r>
  <r>
    <x v="7"/>
    <x v="6"/>
    <s v="Assinatura anual das Normas Portuguesas, Classe A do IPQ"/>
    <s v="BISEL"/>
    <m/>
    <m/>
    <m/>
    <s v="400,00€ + IVA"/>
  </r>
  <r>
    <x v="7"/>
    <x v="6"/>
    <s v="Conforto térmico e de iluminação  - aquisição de pelicúlas térmicas para os vidros de todo o perímetro da Biblioteca"/>
    <s v="BISEL"/>
    <m/>
    <m/>
    <m/>
    <s v="5400,00€ + IVA"/>
  </r>
  <r>
    <x v="7"/>
    <x v="6"/>
    <s v="Conforto Luminotécnico - aquisição de estores de rolo para substituição dos estores na sala de leitura e gabinetes "/>
    <s v="BISEL"/>
    <m/>
    <m/>
    <m/>
    <s v="4387,50€ + IVA"/>
  </r>
  <r>
    <x v="7"/>
    <x v="6"/>
    <s v="Aquisição de novos livros de referência, pelo menos 1 por cada curso - oferta atualizada"/>
    <s v="BISEL"/>
    <m/>
    <m/>
    <m/>
    <s v="valor a definir"/>
  </r>
  <r>
    <x v="7"/>
    <x v="6"/>
    <s v="Contrato de Reinserção Social - Recurso Humano com formação BAD - com duração de 1 ano"/>
    <s v="BISEL"/>
    <m/>
    <m/>
    <m/>
    <s v="Valor estimado de 30€/mês = 360,00€"/>
  </r>
  <r>
    <x v="7"/>
    <x v="6"/>
    <s v="Recurso Humano - assistente técnica"/>
    <s v="BISEL"/>
    <m/>
    <m/>
    <m/>
    <s v="Valor mensal base = assistente técnico"/>
  </r>
  <r>
    <x v="7"/>
    <x v="6"/>
    <s v="Obras necessárias: reparação do ar condicionado, identificação e colmatação das infiltrações de chuva e dos ares comndicionados, reparação de chão estragado, reparação de parede com buraco, reparação de tomadas soltas e partidas (energia e rede internet), reparação do teto na sala de estudo por infiltrações"/>
    <s v="BISEL"/>
    <m/>
    <m/>
    <m/>
    <s v="Custos a serem verificados pelos Serviços Técnic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ela dinâmica1"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2" firstHeaderRow="1" firstDataRow="1" firstDataCol="1"/>
  <pivotFields count="8">
    <pivotField axis="axisRow" showAll="0">
      <items count="9">
        <item x="7"/>
        <item x="0"/>
        <item x="4"/>
        <item x="2"/>
        <item x="3"/>
        <item x="5"/>
        <item x="1"/>
        <item x="6"/>
        <item t="default"/>
      </items>
    </pivotField>
    <pivotField axis="axisRow" showAll="0">
      <items count="8">
        <item x="0"/>
        <item x="3"/>
        <item x="6"/>
        <item x="4"/>
        <item x="1"/>
        <item x="2"/>
        <item x="5"/>
        <item t="default"/>
      </items>
    </pivotField>
    <pivotField showAll="0"/>
    <pivotField showAll="0"/>
    <pivotField showAll="0"/>
    <pivotField showAll="0"/>
    <pivotField showAll="0"/>
    <pivotField dataField="1" showAll="0"/>
  </pivotFields>
  <rowFields count="2">
    <field x="0"/>
    <field x="1"/>
  </rowFields>
  <rowItems count="29">
    <i>
      <x/>
    </i>
    <i r="1">
      <x/>
    </i>
    <i r="1">
      <x v="2"/>
    </i>
    <i r="1">
      <x v="4"/>
    </i>
    <i>
      <x v="1"/>
    </i>
    <i r="1">
      <x/>
    </i>
    <i r="1">
      <x v="4"/>
    </i>
    <i r="1">
      <x v="5"/>
    </i>
    <i>
      <x v="2"/>
    </i>
    <i r="1">
      <x/>
    </i>
    <i r="1">
      <x v="3"/>
    </i>
    <i r="1">
      <x v="4"/>
    </i>
    <i r="1">
      <x v="5"/>
    </i>
    <i>
      <x v="3"/>
    </i>
    <i r="1">
      <x/>
    </i>
    <i r="1">
      <x v="4"/>
    </i>
    <i>
      <x v="4"/>
    </i>
    <i r="1">
      <x v="4"/>
    </i>
    <i>
      <x v="5"/>
    </i>
    <i r="1">
      <x/>
    </i>
    <i r="1">
      <x v="4"/>
    </i>
    <i r="1">
      <x v="5"/>
    </i>
    <i>
      <x v="6"/>
    </i>
    <i r="1">
      <x v="1"/>
    </i>
    <i r="1">
      <x v="4"/>
    </i>
    <i r="1">
      <x v="5"/>
    </i>
    <i>
      <x v="7"/>
    </i>
    <i r="1">
      <x v="6"/>
    </i>
    <i t="grand">
      <x/>
    </i>
  </rowItems>
  <colItems count="1">
    <i/>
  </colItems>
  <dataFields count="1">
    <dataField name="Soma de CUSTO"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32"/>
  <sheetViews>
    <sheetView workbookViewId="0">
      <selection activeCell="A5" sqref="A5:XFD5"/>
    </sheetView>
  </sheetViews>
  <sheetFormatPr defaultRowHeight="15" x14ac:dyDescent="0.25"/>
  <cols>
    <col min="1" max="1" width="20.5703125" bestFit="1" customWidth="1"/>
    <col min="2" max="2" width="15.140625" bestFit="1" customWidth="1"/>
    <col min="3" max="3" width="11.140625" bestFit="1" customWidth="1"/>
    <col min="4" max="4" width="16.7109375" bestFit="1" customWidth="1"/>
    <col min="5" max="5" width="14.7109375" bestFit="1" customWidth="1"/>
    <col min="6" max="6" width="11.5703125" bestFit="1" customWidth="1"/>
    <col min="7" max="7" width="6.140625" customWidth="1"/>
    <col min="8" max="8" width="11.7109375" bestFit="1" customWidth="1"/>
    <col min="9" max="9" width="10.7109375" bestFit="1" customWidth="1"/>
  </cols>
  <sheetData>
    <row r="3" spans="1:2" x14ac:dyDescent="0.25">
      <c r="A3" s="5" t="s">
        <v>31</v>
      </c>
      <c r="B3" t="s">
        <v>34</v>
      </c>
    </row>
    <row r="4" spans="1:2" x14ac:dyDescent="0.25">
      <c r="A4" s="6" t="s">
        <v>29</v>
      </c>
      <c r="B4">
        <v>140</v>
      </c>
    </row>
    <row r="5" spans="1:2" x14ac:dyDescent="0.25">
      <c r="A5" s="7" t="s">
        <v>20</v>
      </c>
    </row>
    <row r="6" spans="1:2" x14ac:dyDescent="0.25">
      <c r="A6" s="7" t="s">
        <v>30</v>
      </c>
      <c r="B6">
        <v>0</v>
      </c>
    </row>
    <row r="7" spans="1:2" x14ac:dyDescent="0.25">
      <c r="A7" s="7" t="s">
        <v>21</v>
      </c>
      <c r="B7">
        <v>140</v>
      </c>
    </row>
    <row r="8" spans="1:2" x14ac:dyDescent="0.25">
      <c r="A8" s="6" t="s">
        <v>12</v>
      </c>
      <c r="B8">
        <v>42275</v>
      </c>
    </row>
    <row r="9" spans="1:2" x14ac:dyDescent="0.25">
      <c r="A9" s="7" t="s">
        <v>20</v>
      </c>
      <c r="B9">
        <v>40150</v>
      </c>
    </row>
    <row r="10" spans="1:2" x14ac:dyDescent="0.25">
      <c r="A10" s="7" t="s">
        <v>21</v>
      </c>
      <c r="B10">
        <v>2125</v>
      </c>
    </row>
    <row r="11" spans="1:2" x14ac:dyDescent="0.25">
      <c r="A11" s="7" t="s">
        <v>22</v>
      </c>
      <c r="B11">
        <v>0</v>
      </c>
    </row>
    <row r="12" spans="1:2" x14ac:dyDescent="0.25">
      <c r="A12" s="6" t="s">
        <v>26</v>
      </c>
      <c r="B12">
        <v>36058</v>
      </c>
    </row>
    <row r="13" spans="1:2" x14ac:dyDescent="0.25">
      <c r="A13" s="7" t="s">
        <v>20</v>
      </c>
      <c r="B13">
        <v>0</v>
      </c>
    </row>
    <row r="14" spans="1:2" x14ac:dyDescent="0.25">
      <c r="A14" s="7" t="s">
        <v>27</v>
      </c>
      <c r="B14">
        <v>5509</v>
      </c>
    </row>
    <row r="15" spans="1:2" x14ac:dyDescent="0.25">
      <c r="A15" s="7" t="s">
        <v>21</v>
      </c>
      <c r="B15">
        <v>8599</v>
      </c>
    </row>
    <row r="16" spans="1:2" x14ac:dyDescent="0.25">
      <c r="A16" s="7" t="s">
        <v>22</v>
      </c>
      <c r="B16">
        <v>21950</v>
      </c>
    </row>
    <row r="17" spans="1:2" x14ac:dyDescent="0.25">
      <c r="A17" s="6" t="s">
        <v>18</v>
      </c>
      <c r="B17">
        <v>10400</v>
      </c>
    </row>
    <row r="18" spans="1:2" x14ac:dyDescent="0.25">
      <c r="A18" s="7" t="s">
        <v>20</v>
      </c>
      <c r="B18">
        <v>10140</v>
      </c>
    </row>
    <row r="19" spans="1:2" x14ac:dyDescent="0.25">
      <c r="A19" s="7" t="s">
        <v>21</v>
      </c>
      <c r="B19">
        <v>260</v>
      </c>
    </row>
    <row r="20" spans="1:2" x14ac:dyDescent="0.25">
      <c r="A20" s="6" t="s">
        <v>25</v>
      </c>
      <c r="B20">
        <v>1050</v>
      </c>
    </row>
    <row r="21" spans="1:2" x14ac:dyDescent="0.25">
      <c r="A21" s="7" t="s">
        <v>21</v>
      </c>
      <c r="B21">
        <v>1050</v>
      </c>
    </row>
    <row r="22" spans="1:2" x14ac:dyDescent="0.25">
      <c r="A22" s="6" t="s">
        <v>28</v>
      </c>
      <c r="B22">
        <v>6620</v>
      </c>
    </row>
    <row r="23" spans="1:2" x14ac:dyDescent="0.25">
      <c r="A23" s="7" t="s">
        <v>20</v>
      </c>
      <c r="B23">
        <v>0</v>
      </c>
    </row>
    <row r="24" spans="1:2" x14ac:dyDescent="0.25">
      <c r="A24" s="7" t="s">
        <v>21</v>
      </c>
      <c r="B24">
        <v>6620</v>
      </c>
    </row>
    <row r="25" spans="1:2" x14ac:dyDescent="0.25">
      <c r="A25" s="7" t="s">
        <v>22</v>
      </c>
      <c r="B25">
        <v>0</v>
      </c>
    </row>
    <row r="26" spans="1:2" x14ac:dyDescent="0.25">
      <c r="A26" s="6" t="s">
        <v>23</v>
      </c>
      <c r="B26">
        <v>153583.22999999998</v>
      </c>
    </row>
    <row r="27" spans="1:2" x14ac:dyDescent="0.25">
      <c r="A27" s="7" t="s">
        <v>24</v>
      </c>
      <c r="B27">
        <v>115183.23</v>
      </c>
    </row>
    <row r="28" spans="1:2" x14ac:dyDescent="0.25">
      <c r="A28" s="7" t="s">
        <v>21</v>
      </c>
      <c r="B28">
        <v>38400</v>
      </c>
    </row>
    <row r="29" spans="1:2" x14ac:dyDescent="0.25">
      <c r="A29" s="7" t="s">
        <v>22</v>
      </c>
      <c r="B29">
        <v>0</v>
      </c>
    </row>
    <row r="30" spans="1:2" x14ac:dyDescent="0.25">
      <c r="A30" s="6" t="s">
        <v>32</v>
      </c>
    </row>
    <row r="31" spans="1:2" x14ac:dyDescent="0.25">
      <c r="A31" s="7" t="s">
        <v>32</v>
      </c>
    </row>
    <row r="32" spans="1:2" x14ac:dyDescent="0.25">
      <c r="A32" s="6" t="s">
        <v>33</v>
      </c>
      <c r="B32">
        <v>250126.22999999998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76"/>
  <sheetViews>
    <sheetView showGridLines="0" tabSelected="1" topLeftCell="A25" zoomScale="82" zoomScaleNormal="82" workbookViewId="0">
      <selection activeCell="R26" sqref="R26"/>
    </sheetView>
  </sheetViews>
  <sheetFormatPr defaultColWidth="11" defaultRowHeight="12.75" x14ac:dyDescent="0.2"/>
  <cols>
    <col min="1" max="1" width="17.5703125" style="13" customWidth="1"/>
    <col min="2" max="2" width="36.7109375" style="13" customWidth="1"/>
    <col min="3" max="3" width="21.42578125" style="13" customWidth="1"/>
    <col min="4" max="4" width="10.7109375" style="13" customWidth="1"/>
    <col min="5" max="5" width="10.7109375" style="42" customWidth="1"/>
    <col min="6" max="6" width="11" style="11" customWidth="1"/>
    <col min="7" max="7" width="11.85546875" style="11" customWidth="1"/>
    <col min="8" max="8" width="13.5703125" style="11" customWidth="1"/>
    <col min="9" max="9" width="11.42578125" style="11" customWidth="1"/>
    <col min="10" max="10" width="12.42578125" style="11" customWidth="1"/>
    <col min="11" max="11" width="11.85546875" style="11" customWidth="1"/>
    <col min="12" max="12" width="13" style="11" bestFit="1" customWidth="1"/>
    <col min="13" max="13" width="6.7109375" style="11" customWidth="1"/>
    <col min="14" max="14" width="7.5703125" style="11" bestFit="1" customWidth="1"/>
    <col min="15" max="16" width="6.7109375" style="11" customWidth="1"/>
    <col min="17" max="17" width="2.140625" style="11" customWidth="1"/>
    <col min="18" max="18" width="90.7109375" style="1" customWidth="1"/>
    <col min="19" max="19" width="62.7109375" style="1" customWidth="1"/>
    <col min="20" max="20" width="36.42578125" style="1" customWidth="1"/>
    <col min="21" max="16384" width="11" style="1"/>
  </cols>
  <sheetData>
    <row r="1" spans="1:20" s="3" customFormat="1" x14ac:dyDescent="0.2">
      <c r="A1" s="12"/>
      <c r="B1" s="21" t="s">
        <v>122</v>
      </c>
      <c r="C1" s="23"/>
      <c r="D1" s="12"/>
      <c r="E1" s="41"/>
      <c r="F1" s="9"/>
      <c r="G1" s="9"/>
      <c r="H1" s="9"/>
      <c r="I1" s="9"/>
      <c r="J1" s="9"/>
      <c r="K1" s="9"/>
      <c r="L1" s="9"/>
      <c r="M1" s="9"/>
      <c r="N1" s="9"/>
      <c r="O1" s="9"/>
      <c r="P1" s="9"/>
      <c r="Q1" s="9"/>
      <c r="R1" s="3" t="s">
        <v>254</v>
      </c>
    </row>
    <row r="2" spans="1:20" s="3" customFormat="1" x14ac:dyDescent="0.2">
      <c r="A2" s="12"/>
      <c r="B2" s="20" t="s">
        <v>123</v>
      </c>
      <c r="C2" s="23"/>
      <c r="D2" s="12"/>
      <c r="E2" s="41"/>
      <c r="F2" s="9"/>
      <c r="G2" s="9"/>
      <c r="H2" s="9"/>
      <c r="I2" s="9"/>
      <c r="J2" s="9"/>
      <c r="K2" s="9"/>
      <c r="L2" s="9"/>
      <c r="M2" s="9"/>
      <c r="N2" s="9"/>
      <c r="O2" s="9"/>
      <c r="P2" s="9"/>
      <c r="Q2" s="9"/>
      <c r="R2" s="72" t="s">
        <v>318</v>
      </c>
    </row>
    <row r="3" spans="1:20" s="3" customFormat="1" x14ac:dyDescent="0.2">
      <c r="A3" s="12"/>
      <c r="B3" s="44" t="s">
        <v>124</v>
      </c>
      <c r="C3" s="12"/>
      <c r="D3" s="12"/>
      <c r="E3" s="41"/>
      <c r="F3" s="9"/>
      <c r="G3" s="9"/>
      <c r="H3" s="9"/>
      <c r="I3" s="9"/>
      <c r="J3" s="9"/>
      <c r="K3" s="9"/>
      <c r="L3" s="9"/>
      <c r="M3" s="9"/>
      <c r="N3" s="9"/>
      <c r="O3" s="9"/>
      <c r="P3" s="9"/>
      <c r="Q3" s="9"/>
      <c r="R3" s="73" t="s">
        <v>317</v>
      </c>
    </row>
    <row r="4" spans="1:20" s="3" customFormat="1" x14ac:dyDescent="0.2">
      <c r="A4" s="12"/>
      <c r="B4" s="13" t="s">
        <v>103</v>
      </c>
      <c r="C4" s="12"/>
      <c r="D4" s="12"/>
      <c r="E4" s="41"/>
      <c r="F4" s="9"/>
      <c r="G4" s="9"/>
      <c r="H4" s="9"/>
      <c r="I4" s="9"/>
      <c r="J4" s="9"/>
      <c r="K4" s="9"/>
      <c r="L4" s="9"/>
      <c r="M4" s="9"/>
      <c r="N4" s="9"/>
      <c r="O4" s="9"/>
      <c r="P4" s="9"/>
      <c r="Q4" s="9"/>
      <c r="R4" s="75" t="s">
        <v>243</v>
      </c>
    </row>
    <row r="5" spans="1:20" ht="51.75" thickBot="1" x14ac:dyDescent="0.25">
      <c r="D5" s="36" t="s">
        <v>105</v>
      </c>
      <c r="F5" s="87" t="s">
        <v>14</v>
      </c>
      <c r="G5" s="88"/>
      <c r="H5" s="89"/>
      <c r="I5" s="87" t="s">
        <v>15</v>
      </c>
      <c r="J5" s="88"/>
      <c r="K5" s="89"/>
      <c r="L5" s="87" t="s">
        <v>16</v>
      </c>
      <c r="M5" s="88"/>
      <c r="N5" s="89"/>
      <c r="O5" s="87" t="s">
        <v>17</v>
      </c>
      <c r="P5" s="88"/>
      <c r="Q5" s="89"/>
      <c r="R5" s="79" t="s">
        <v>253</v>
      </c>
    </row>
    <row r="6" spans="1:20" s="2" customFormat="1" ht="24.75" thickTop="1" x14ac:dyDescent="0.2">
      <c r="A6" s="35"/>
      <c r="B6" s="14" t="s">
        <v>19</v>
      </c>
      <c r="C6" s="14" t="s">
        <v>81</v>
      </c>
      <c r="D6" s="14" t="s">
        <v>80</v>
      </c>
      <c r="E6" s="43" t="s">
        <v>13</v>
      </c>
      <c r="F6" s="10" t="s">
        <v>0</v>
      </c>
      <c r="G6" s="10" t="s">
        <v>1</v>
      </c>
      <c r="H6" s="10" t="s">
        <v>2</v>
      </c>
      <c r="I6" s="10" t="s">
        <v>3</v>
      </c>
      <c r="J6" s="10" t="s">
        <v>4</v>
      </c>
      <c r="K6" s="10" t="s">
        <v>5</v>
      </c>
      <c r="L6" s="10" t="s">
        <v>6</v>
      </c>
      <c r="M6" s="10" t="s">
        <v>7</v>
      </c>
      <c r="N6" s="10" t="s">
        <v>8</v>
      </c>
      <c r="O6" s="10" t="s">
        <v>9</v>
      </c>
      <c r="P6" s="10" t="s">
        <v>10</v>
      </c>
      <c r="Q6" s="10" t="s">
        <v>11</v>
      </c>
      <c r="R6" s="4" t="s">
        <v>140</v>
      </c>
      <c r="S6" s="4" t="s">
        <v>141</v>
      </c>
    </row>
    <row r="7" spans="1:20" s="2" customFormat="1" ht="12" x14ac:dyDescent="0.2">
      <c r="A7" s="35"/>
      <c r="B7" s="14"/>
      <c r="C7" s="14"/>
      <c r="D7" s="14"/>
      <c r="E7" s="43"/>
      <c r="F7" s="18"/>
      <c r="G7" s="18"/>
      <c r="H7" s="18"/>
      <c r="I7" s="18"/>
      <c r="J7" s="18"/>
      <c r="K7" s="18"/>
      <c r="L7" s="18"/>
      <c r="M7" s="18"/>
      <c r="N7" s="18"/>
      <c r="O7" s="18"/>
      <c r="P7" s="18"/>
      <c r="Q7" s="18"/>
      <c r="R7" s="19"/>
      <c r="S7" s="19"/>
    </row>
    <row r="8" spans="1:20" ht="69" customHeight="1" x14ac:dyDescent="0.2">
      <c r="A8" s="36" t="s">
        <v>97</v>
      </c>
      <c r="B8" s="24" t="s">
        <v>77</v>
      </c>
      <c r="C8" s="15" t="s">
        <v>86</v>
      </c>
      <c r="D8" s="15"/>
      <c r="E8" s="42" t="s">
        <v>79</v>
      </c>
      <c r="F8" s="92" t="s">
        <v>75</v>
      </c>
      <c r="G8" s="8"/>
      <c r="H8" s="8"/>
      <c r="I8" s="8"/>
      <c r="J8" s="8"/>
      <c r="K8" s="8"/>
      <c r="L8" s="8"/>
      <c r="M8" s="8"/>
      <c r="N8" s="8"/>
      <c r="O8" s="8"/>
      <c r="P8" s="8"/>
      <c r="Q8" s="8"/>
      <c r="R8" s="74"/>
    </row>
    <row r="9" spans="1:20" ht="105.75" customHeight="1" x14ac:dyDescent="0.2">
      <c r="A9" s="36" t="s">
        <v>97</v>
      </c>
      <c r="B9" s="24" t="s">
        <v>90</v>
      </c>
      <c r="C9" s="15" t="s">
        <v>82</v>
      </c>
      <c r="D9" s="15" t="s">
        <v>83</v>
      </c>
      <c r="E9" s="52" t="s">
        <v>76</v>
      </c>
      <c r="F9" s="8"/>
      <c r="G9" s="92" t="s">
        <v>117</v>
      </c>
      <c r="H9" s="55" t="s">
        <v>322</v>
      </c>
      <c r="I9" s="8"/>
      <c r="J9" s="8"/>
      <c r="K9" s="8"/>
      <c r="L9" s="8"/>
      <c r="M9" s="8"/>
      <c r="N9" s="8"/>
      <c r="O9" s="8"/>
      <c r="P9" s="8"/>
      <c r="Q9" s="8"/>
      <c r="R9" s="48" t="s">
        <v>129</v>
      </c>
    </row>
    <row r="10" spans="1:20" ht="178.5" customHeight="1" x14ac:dyDescent="0.2">
      <c r="A10" s="36" t="s">
        <v>97</v>
      </c>
      <c r="B10" s="25" t="s">
        <v>84</v>
      </c>
      <c r="C10" s="16" t="s">
        <v>85</v>
      </c>
      <c r="D10" s="16" t="s">
        <v>181</v>
      </c>
      <c r="E10" s="52" t="s">
        <v>76</v>
      </c>
      <c r="F10" s="8"/>
      <c r="G10" s="8"/>
      <c r="H10" s="29" t="s">
        <v>323</v>
      </c>
      <c r="I10" s="8"/>
      <c r="J10" s="29" t="s">
        <v>324</v>
      </c>
      <c r="K10" s="29" t="s">
        <v>325</v>
      </c>
      <c r="L10" s="30" t="s">
        <v>326</v>
      </c>
      <c r="M10" s="8"/>
      <c r="N10" s="30" t="s">
        <v>139</v>
      </c>
      <c r="O10" s="8"/>
      <c r="P10" s="8"/>
      <c r="Q10" s="8"/>
      <c r="R10" s="93" t="s">
        <v>319</v>
      </c>
      <c r="S10" s="13"/>
    </row>
    <row r="11" spans="1:20" ht="409.5" customHeight="1" x14ac:dyDescent="0.2">
      <c r="A11" s="36" t="s">
        <v>97</v>
      </c>
      <c r="B11" s="25" t="s">
        <v>134</v>
      </c>
      <c r="C11" s="16" t="s">
        <v>180</v>
      </c>
      <c r="D11" s="15" t="s">
        <v>182</v>
      </c>
      <c r="E11" s="52" t="s">
        <v>76</v>
      </c>
      <c r="F11" s="8"/>
      <c r="G11" s="8"/>
      <c r="H11" s="29" t="s">
        <v>323</v>
      </c>
      <c r="I11" s="8"/>
      <c r="J11" s="30" t="s">
        <v>332</v>
      </c>
      <c r="K11" s="30" t="s">
        <v>330</v>
      </c>
      <c r="L11" s="8"/>
      <c r="M11" s="8"/>
      <c r="N11" s="8"/>
      <c r="O11" s="8"/>
      <c r="P11" s="8"/>
      <c r="Q11" s="8"/>
      <c r="R11" s="94"/>
      <c r="S11" s="95" t="s">
        <v>320</v>
      </c>
      <c r="T11" s="95" t="s">
        <v>321</v>
      </c>
    </row>
    <row r="12" spans="1:20" ht="76.5" customHeight="1" x14ac:dyDescent="0.2">
      <c r="A12" s="36" t="s">
        <v>97</v>
      </c>
      <c r="B12" s="26" t="s">
        <v>92</v>
      </c>
      <c r="C12" s="15" t="s">
        <v>85</v>
      </c>
      <c r="D12" s="15" t="s">
        <v>183</v>
      </c>
      <c r="E12" s="52" t="s">
        <v>106</v>
      </c>
      <c r="F12" s="8"/>
      <c r="G12" s="8"/>
      <c r="H12" s="29" t="s">
        <v>328</v>
      </c>
      <c r="I12" s="8"/>
      <c r="J12" s="8"/>
      <c r="K12" s="30" t="s">
        <v>330</v>
      </c>
      <c r="L12" s="8"/>
      <c r="M12" s="8"/>
      <c r="N12" s="8"/>
      <c r="O12" s="8"/>
      <c r="P12" s="8"/>
      <c r="Q12" s="8"/>
      <c r="R12" s="95" t="s">
        <v>327</v>
      </c>
    </row>
    <row r="13" spans="1:20" ht="89.25" customHeight="1" x14ac:dyDescent="0.2">
      <c r="A13" s="36" t="s">
        <v>97</v>
      </c>
      <c r="B13" s="27" t="s">
        <v>94</v>
      </c>
      <c r="C13" s="15" t="s">
        <v>85</v>
      </c>
      <c r="D13" s="15" t="s">
        <v>184</v>
      </c>
      <c r="E13" s="52" t="s">
        <v>106</v>
      </c>
      <c r="F13" s="8"/>
      <c r="G13" s="8"/>
      <c r="H13" s="29" t="s">
        <v>329</v>
      </c>
      <c r="I13" s="30" t="s">
        <v>91</v>
      </c>
      <c r="J13" s="8"/>
      <c r="K13" s="30"/>
      <c r="L13" s="8"/>
      <c r="M13" s="8"/>
      <c r="N13" s="8"/>
      <c r="O13" s="8"/>
      <c r="P13" s="8"/>
      <c r="Q13" s="8"/>
      <c r="R13" s="95" t="s">
        <v>165</v>
      </c>
    </row>
    <row r="14" spans="1:20" ht="81" customHeight="1" x14ac:dyDescent="0.2">
      <c r="A14" s="36" t="s">
        <v>97</v>
      </c>
      <c r="B14" s="27" t="s">
        <v>93</v>
      </c>
      <c r="C14" s="15"/>
      <c r="D14" s="15" t="s">
        <v>185</v>
      </c>
      <c r="E14" s="52" t="s">
        <v>154</v>
      </c>
      <c r="F14" s="8"/>
      <c r="G14" s="8"/>
      <c r="H14" s="8"/>
      <c r="I14" s="29" t="s">
        <v>138</v>
      </c>
      <c r="J14" s="8"/>
      <c r="K14" s="30" t="s">
        <v>331</v>
      </c>
      <c r="L14" s="8"/>
      <c r="M14" s="8"/>
      <c r="N14" s="8"/>
      <c r="O14" s="8"/>
      <c r="P14" s="8"/>
      <c r="Q14" s="8"/>
      <c r="R14" s="95" t="s">
        <v>333</v>
      </c>
    </row>
    <row r="15" spans="1:20" ht="63.75" x14ac:dyDescent="0.2">
      <c r="A15" s="37" t="s">
        <v>101</v>
      </c>
      <c r="B15" s="25" t="s">
        <v>41</v>
      </c>
      <c r="C15" s="15"/>
      <c r="D15" s="15"/>
      <c r="E15" s="15"/>
      <c r="F15" s="45" t="s">
        <v>36</v>
      </c>
      <c r="G15" s="45" t="s">
        <v>36</v>
      </c>
      <c r="H15" s="45" t="s">
        <v>36</v>
      </c>
      <c r="I15" s="8"/>
      <c r="J15" s="45" t="s">
        <v>36</v>
      </c>
      <c r="K15" s="45" t="s">
        <v>36</v>
      </c>
      <c r="L15" s="45" t="s">
        <v>36</v>
      </c>
      <c r="M15" s="8"/>
      <c r="N15" s="8"/>
      <c r="O15" s="8"/>
      <c r="P15" s="8"/>
      <c r="Q15" s="8"/>
      <c r="R15" s="48"/>
    </row>
    <row r="16" spans="1:20" ht="114.75" x14ac:dyDescent="0.2">
      <c r="A16" s="38" t="s">
        <v>98</v>
      </c>
      <c r="B16" s="25" t="s">
        <v>45</v>
      </c>
      <c r="C16" s="15"/>
      <c r="D16" s="15"/>
      <c r="E16" s="15"/>
      <c r="F16" s="8" t="s">
        <v>36</v>
      </c>
      <c r="G16" s="8" t="s">
        <v>36</v>
      </c>
      <c r="H16" s="8" t="s">
        <v>36</v>
      </c>
      <c r="I16" s="8"/>
      <c r="J16" s="8" t="s">
        <v>36</v>
      </c>
      <c r="K16" s="8" t="s">
        <v>36</v>
      </c>
      <c r="L16" s="8" t="s">
        <v>36</v>
      </c>
      <c r="M16" s="8"/>
      <c r="N16" s="8"/>
      <c r="O16" s="8"/>
      <c r="P16" s="8"/>
      <c r="Q16" s="8"/>
      <c r="R16" s="48" t="s">
        <v>255</v>
      </c>
    </row>
    <row r="17" spans="1:20" ht="127.5" x14ac:dyDescent="0.2">
      <c r="A17" s="38" t="s">
        <v>98</v>
      </c>
      <c r="B17" s="25" t="s">
        <v>95</v>
      </c>
      <c r="C17" s="15"/>
      <c r="D17" s="15" t="s">
        <v>186</v>
      </c>
      <c r="E17" s="52" t="s">
        <v>154</v>
      </c>
      <c r="F17" s="8"/>
      <c r="G17" s="8"/>
      <c r="H17" s="29" t="s">
        <v>329</v>
      </c>
      <c r="I17" s="8"/>
      <c r="J17" s="8"/>
      <c r="K17" s="30" t="s">
        <v>96</v>
      </c>
      <c r="L17" s="8"/>
      <c r="M17" s="8"/>
      <c r="N17" s="8"/>
      <c r="O17" s="8"/>
      <c r="P17" s="8"/>
      <c r="Q17" s="8"/>
      <c r="R17" s="95" t="s">
        <v>334</v>
      </c>
    </row>
    <row r="18" spans="1:20" ht="409.5" x14ac:dyDescent="0.2">
      <c r="A18" s="36" t="s">
        <v>97</v>
      </c>
      <c r="B18" s="25" t="s">
        <v>70</v>
      </c>
      <c r="C18" s="17" t="s">
        <v>135</v>
      </c>
      <c r="D18" s="46" t="s">
        <v>188</v>
      </c>
      <c r="E18" s="52" t="s">
        <v>154</v>
      </c>
      <c r="F18" s="29" t="s">
        <v>142</v>
      </c>
      <c r="G18" s="8"/>
      <c r="H18" s="8"/>
      <c r="I18" s="8"/>
      <c r="J18" s="8"/>
      <c r="K18" s="29" t="s">
        <v>143</v>
      </c>
      <c r="L18" s="29" t="s">
        <v>342</v>
      </c>
      <c r="M18" s="29" t="s">
        <v>343</v>
      </c>
      <c r="N18" s="8"/>
      <c r="O18" s="8"/>
      <c r="P18" s="8"/>
      <c r="Q18" s="8"/>
      <c r="R18" s="78" t="s">
        <v>338</v>
      </c>
      <c r="S18" s="101" t="s">
        <v>187</v>
      </c>
      <c r="T18" s="102" t="s">
        <v>339</v>
      </c>
    </row>
    <row r="19" spans="1:20" ht="51.75" customHeight="1" x14ac:dyDescent="0.2">
      <c r="A19" s="39" t="s">
        <v>102</v>
      </c>
      <c r="B19" s="25" t="s">
        <v>176</v>
      </c>
      <c r="C19" s="1"/>
      <c r="D19" s="1"/>
      <c r="E19" s="15" t="s">
        <v>79</v>
      </c>
      <c r="F19" s="8" t="s">
        <v>36</v>
      </c>
      <c r="G19" s="8" t="s">
        <v>36</v>
      </c>
      <c r="H19" s="8" t="s">
        <v>36</v>
      </c>
      <c r="I19" s="8"/>
      <c r="J19" s="8"/>
      <c r="K19" s="8" t="s">
        <v>36</v>
      </c>
      <c r="L19" s="8" t="s">
        <v>36</v>
      </c>
      <c r="M19" s="8"/>
      <c r="N19" s="8" t="s">
        <v>36</v>
      </c>
      <c r="O19" s="8" t="s">
        <v>36</v>
      </c>
      <c r="P19" s="8"/>
      <c r="Q19" s="8"/>
      <c r="R19" s="96" t="s">
        <v>335</v>
      </c>
      <c r="S19" s="53"/>
    </row>
    <row r="20" spans="1:20" ht="37.5" customHeight="1" x14ac:dyDescent="0.2">
      <c r="A20" s="39" t="s">
        <v>102</v>
      </c>
      <c r="B20" s="25" t="s">
        <v>71</v>
      </c>
      <c r="C20" s="16"/>
      <c r="D20" s="16"/>
      <c r="E20" s="15" t="s">
        <v>79</v>
      </c>
      <c r="F20" s="8" t="s">
        <v>36</v>
      </c>
      <c r="G20" s="8" t="s">
        <v>36</v>
      </c>
      <c r="H20" s="8" t="s">
        <v>36</v>
      </c>
      <c r="I20" s="8"/>
      <c r="J20" s="8"/>
      <c r="K20" s="8" t="s">
        <v>36</v>
      </c>
      <c r="L20" s="8" t="s">
        <v>36</v>
      </c>
      <c r="M20" s="8"/>
      <c r="N20" s="8" t="s">
        <v>36</v>
      </c>
      <c r="O20" s="8" t="s">
        <v>36</v>
      </c>
      <c r="P20" s="8"/>
      <c r="Q20" s="8"/>
      <c r="R20" s="48" t="s">
        <v>335</v>
      </c>
      <c r="S20" s="103" t="s">
        <v>341</v>
      </c>
    </row>
    <row r="21" spans="1:20" ht="51" x14ac:dyDescent="0.2">
      <c r="A21" s="39" t="s">
        <v>102</v>
      </c>
      <c r="B21" s="25" t="s">
        <v>59</v>
      </c>
      <c r="C21" s="16" t="s">
        <v>110</v>
      </c>
      <c r="D21" s="15"/>
      <c r="E21" s="15" t="s">
        <v>79</v>
      </c>
      <c r="F21" s="8"/>
      <c r="G21" s="8"/>
      <c r="H21" s="8"/>
      <c r="I21" s="8"/>
      <c r="J21" s="8"/>
      <c r="K21" s="8" t="s">
        <v>36</v>
      </c>
      <c r="L21" s="30" t="s">
        <v>107</v>
      </c>
      <c r="M21" s="8"/>
      <c r="N21" s="8" t="s">
        <v>36</v>
      </c>
      <c r="O21" s="8" t="s">
        <v>36</v>
      </c>
      <c r="P21" s="8"/>
      <c r="Q21" s="8"/>
      <c r="R21" s="80" t="s">
        <v>189</v>
      </c>
      <c r="S21" s="53"/>
    </row>
    <row r="22" spans="1:20" ht="409.5" x14ac:dyDescent="0.2">
      <c r="A22" s="36" t="s">
        <v>97</v>
      </c>
      <c r="B22" s="25" t="s">
        <v>59</v>
      </c>
      <c r="C22" s="16" t="s">
        <v>109</v>
      </c>
      <c r="D22" s="46" t="s">
        <v>194</v>
      </c>
      <c r="E22" s="52" t="s">
        <v>154</v>
      </c>
      <c r="F22" s="8" t="s">
        <v>36</v>
      </c>
      <c r="G22" s="8" t="s">
        <v>36</v>
      </c>
      <c r="H22" s="29" t="s">
        <v>329</v>
      </c>
      <c r="I22" s="8" t="s">
        <v>36</v>
      </c>
      <c r="J22" s="8" t="s">
        <v>36</v>
      </c>
      <c r="K22" s="29" t="s">
        <v>111</v>
      </c>
      <c r="L22" s="8" t="s">
        <v>36</v>
      </c>
      <c r="M22" s="8" t="s">
        <v>36</v>
      </c>
      <c r="N22" s="8" t="s">
        <v>36</v>
      </c>
      <c r="O22" s="8" t="s">
        <v>36</v>
      </c>
      <c r="P22" s="8" t="s">
        <v>36</v>
      </c>
      <c r="Q22" s="8" t="s">
        <v>36</v>
      </c>
      <c r="R22" s="48" t="s">
        <v>336</v>
      </c>
    </row>
    <row r="23" spans="1:20" ht="39.75" customHeight="1" x14ac:dyDescent="0.2">
      <c r="A23" s="38" t="s">
        <v>98</v>
      </c>
      <c r="B23" s="25" t="s">
        <v>42</v>
      </c>
      <c r="C23" s="15"/>
      <c r="D23" s="15"/>
      <c r="E23" s="15" t="s">
        <v>79</v>
      </c>
      <c r="F23" s="8" t="s">
        <v>36</v>
      </c>
      <c r="G23" s="8" t="s">
        <v>36</v>
      </c>
      <c r="H23" s="8" t="s">
        <v>36</v>
      </c>
      <c r="I23" s="8" t="s">
        <v>36</v>
      </c>
      <c r="J23" s="8" t="s">
        <v>36</v>
      </c>
      <c r="K23" s="8" t="s">
        <v>36</v>
      </c>
      <c r="L23" s="8" t="s">
        <v>36</v>
      </c>
      <c r="M23" s="8" t="s">
        <v>36</v>
      </c>
      <c r="N23" s="8" t="s">
        <v>36</v>
      </c>
      <c r="O23" s="8" t="s">
        <v>36</v>
      </c>
      <c r="P23" s="8" t="s">
        <v>36</v>
      </c>
      <c r="Q23" s="8" t="s">
        <v>36</v>
      </c>
      <c r="R23" s="80"/>
    </row>
    <row r="24" spans="1:20" ht="140.25" x14ac:dyDescent="0.2">
      <c r="A24" s="36" t="s">
        <v>97</v>
      </c>
      <c r="B24" s="25" t="s">
        <v>125</v>
      </c>
      <c r="C24" s="15"/>
      <c r="D24" s="46" t="s">
        <v>195</v>
      </c>
      <c r="E24" s="15" t="s">
        <v>79</v>
      </c>
      <c r="F24" s="8"/>
      <c r="G24" s="8"/>
      <c r="H24" s="8"/>
      <c r="I24" s="8"/>
      <c r="J24" s="8"/>
      <c r="K24" s="8"/>
      <c r="L24" s="29" t="s">
        <v>190</v>
      </c>
      <c r="M24" s="8"/>
      <c r="N24" s="8"/>
      <c r="O24" s="8"/>
      <c r="P24" s="8"/>
      <c r="Q24" s="8"/>
      <c r="R24" s="97" t="s">
        <v>337</v>
      </c>
    </row>
    <row r="25" spans="1:20" s="13" customFormat="1" ht="409.5" x14ac:dyDescent="0.2">
      <c r="A25" s="36" t="s">
        <v>97</v>
      </c>
      <c r="B25" s="25" t="s">
        <v>46</v>
      </c>
      <c r="C25" s="15"/>
      <c r="D25" s="46" t="s">
        <v>196</v>
      </c>
      <c r="E25" s="15" t="s">
        <v>79</v>
      </c>
      <c r="F25" s="49" t="s">
        <v>36</v>
      </c>
      <c r="G25" s="49" t="s">
        <v>36</v>
      </c>
      <c r="H25" s="49" t="s">
        <v>36</v>
      </c>
      <c r="I25" s="49"/>
      <c r="J25" s="49"/>
      <c r="K25" s="49"/>
      <c r="L25" s="29" t="s">
        <v>191</v>
      </c>
      <c r="M25" s="49"/>
      <c r="N25" s="29" t="s">
        <v>192</v>
      </c>
      <c r="O25" s="49" t="s">
        <v>36</v>
      </c>
      <c r="P25" s="49" t="s">
        <v>36</v>
      </c>
      <c r="Q25" s="49"/>
      <c r="R25" s="97" t="s">
        <v>193</v>
      </c>
    </row>
    <row r="26" spans="1:20" ht="89.25" customHeight="1" x14ac:dyDescent="0.2">
      <c r="A26" s="36" t="s">
        <v>97</v>
      </c>
      <c r="B26" s="77" t="s">
        <v>246</v>
      </c>
      <c r="C26" s="15"/>
      <c r="D26" s="46" t="s">
        <v>155</v>
      </c>
      <c r="E26" s="15" t="s">
        <v>79</v>
      </c>
      <c r="F26" s="8" t="s">
        <v>36</v>
      </c>
      <c r="G26" s="8" t="s">
        <v>36</v>
      </c>
      <c r="H26" s="8" t="s">
        <v>36</v>
      </c>
      <c r="I26" s="8"/>
      <c r="J26" s="8"/>
      <c r="K26" s="8"/>
      <c r="L26" s="8"/>
      <c r="M26" s="8"/>
      <c r="N26" s="8" t="s">
        <v>36</v>
      </c>
      <c r="O26" s="8" t="s">
        <v>36</v>
      </c>
      <c r="P26" s="8" t="s">
        <v>36</v>
      </c>
      <c r="Q26" s="8"/>
      <c r="R26" s="97" t="s">
        <v>197</v>
      </c>
      <c r="S26" s="98" t="s">
        <v>247</v>
      </c>
    </row>
    <row r="27" spans="1:20" ht="165.75" x14ac:dyDescent="0.2">
      <c r="A27" s="36" t="s">
        <v>97</v>
      </c>
      <c r="B27" s="25" t="s">
        <v>132</v>
      </c>
      <c r="C27" s="15"/>
      <c r="D27" s="46" t="s">
        <v>198</v>
      </c>
      <c r="E27" s="15" t="s">
        <v>79</v>
      </c>
      <c r="F27" s="8" t="s">
        <v>36</v>
      </c>
      <c r="G27" s="8" t="s">
        <v>36</v>
      </c>
      <c r="H27" s="8" t="s">
        <v>36</v>
      </c>
      <c r="I27" s="8"/>
      <c r="J27" s="8"/>
      <c r="K27" s="8"/>
      <c r="L27" s="8"/>
      <c r="M27" s="8"/>
      <c r="N27" s="8" t="s">
        <v>36</v>
      </c>
      <c r="O27" s="8" t="s">
        <v>36</v>
      </c>
      <c r="P27" s="8" t="s">
        <v>36</v>
      </c>
      <c r="Q27" s="8"/>
      <c r="R27" s="97" t="s">
        <v>248</v>
      </c>
    </row>
    <row r="28" spans="1:20" ht="409.5" x14ac:dyDescent="0.2">
      <c r="A28" s="39" t="s">
        <v>102</v>
      </c>
      <c r="B28" s="25" t="s">
        <v>99</v>
      </c>
      <c r="C28" s="15"/>
      <c r="D28" s="15" t="s">
        <v>87</v>
      </c>
      <c r="E28" s="15" t="s">
        <v>79</v>
      </c>
      <c r="F28" s="8" t="s">
        <v>36</v>
      </c>
      <c r="G28" s="8" t="s">
        <v>36</v>
      </c>
      <c r="H28" s="8" t="s">
        <v>36</v>
      </c>
      <c r="I28" s="8"/>
      <c r="J28" s="8" t="s">
        <v>36</v>
      </c>
      <c r="K28" s="8" t="s">
        <v>36</v>
      </c>
      <c r="L28" s="31" t="s">
        <v>108</v>
      </c>
      <c r="M28" s="8"/>
      <c r="N28" s="8" t="s">
        <v>36</v>
      </c>
      <c r="O28" s="8" t="s">
        <v>36</v>
      </c>
      <c r="P28" s="8"/>
      <c r="Q28" s="8"/>
      <c r="R28" s="97" t="s">
        <v>250</v>
      </c>
    </row>
    <row r="29" spans="1:20" ht="409.5" x14ac:dyDescent="0.2">
      <c r="A29" s="39" t="s">
        <v>102</v>
      </c>
      <c r="B29" s="25" t="s">
        <v>47</v>
      </c>
      <c r="C29" s="15"/>
      <c r="D29" s="47" t="s">
        <v>104</v>
      </c>
      <c r="E29" s="15" t="s">
        <v>79</v>
      </c>
      <c r="F29" s="8" t="s">
        <v>36</v>
      </c>
      <c r="G29" s="8" t="s">
        <v>36</v>
      </c>
      <c r="H29" s="8" t="s">
        <v>36</v>
      </c>
      <c r="I29" s="8"/>
      <c r="J29" s="8"/>
      <c r="K29" s="8"/>
      <c r="L29" s="29" t="s">
        <v>144</v>
      </c>
      <c r="M29" s="8"/>
      <c r="N29" s="8" t="s">
        <v>36</v>
      </c>
      <c r="O29" s="8"/>
      <c r="P29" s="8"/>
      <c r="Q29" s="8"/>
      <c r="R29" s="97" t="s">
        <v>249</v>
      </c>
    </row>
    <row r="30" spans="1:20" ht="102" x14ac:dyDescent="0.2">
      <c r="A30" s="38" t="s">
        <v>98</v>
      </c>
      <c r="B30" s="25" t="s">
        <v>48</v>
      </c>
      <c r="C30" s="15"/>
      <c r="D30" s="15"/>
      <c r="E30" s="15" t="s">
        <v>79</v>
      </c>
      <c r="F30" s="8" t="s">
        <v>36</v>
      </c>
      <c r="G30" s="8" t="s">
        <v>36</v>
      </c>
      <c r="H30" s="8" t="s">
        <v>36</v>
      </c>
      <c r="I30" s="8"/>
      <c r="J30" s="8"/>
      <c r="K30" s="8"/>
      <c r="L30" s="8"/>
      <c r="M30" s="8"/>
      <c r="N30" s="32" t="s">
        <v>114</v>
      </c>
      <c r="O30" s="8"/>
      <c r="P30" s="8"/>
      <c r="Q30" s="8"/>
      <c r="R30" s="97" t="s">
        <v>251</v>
      </c>
    </row>
    <row r="31" spans="1:20" ht="62.25" customHeight="1" x14ac:dyDescent="0.2">
      <c r="A31" s="38" t="s">
        <v>98</v>
      </c>
      <c r="B31" s="25" t="s">
        <v>49</v>
      </c>
      <c r="C31" s="15"/>
      <c r="D31" s="15"/>
      <c r="E31" s="15" t="s">
        <v>79</v>
      </c>
      <c r="F31" s="8" t="s">
        <v>36</v>
      </c>
      <c r="G31" s="8" t="s">
        <v>36</v>
      </c>
      <c r="H31" s="8" t="s">
        <v>36</v>
      </c>
      <c r="I31" s="8"/>
      <c r="J31" s="8"/>
      <c r="K31" s="8"/>
      <c r="L31" s="31" t="s">
        <v>112</v>
      </c>
      <c r="M31" s="8" t="s">
        <v>36</v>
      </c>
      <c r="N31" s="8" t="s">
        <v>36</v>
      </c>
      <c r="O31" s="8" t="s">
        <v>36</v>
      </c>
      <c r="P31" s="8"/>
      <c r="Q31" s="8"/>
      <c r="R31" s="97"/>
    </row>
    <row r="32" spans="1:20" ht="37.5" customHeight="1" x14ac:dyDescent="0.2">
      <c r="A32" s="38" t="s">
        <v>98</v>
      </c>
      <c r="B32" s="25" t="s">
        <v>50</v>
      </c>
      <c r="C32" s="15"/>
      <c r="D32" s="15"/>
      <c r="E32" s="15" t="s">
        <v>79</v>
      </c>
      <c r="F32" s="8" t="s">
        <v>36</v>
      </c>
      <c r="G32" s="8" t="s">
        <v>36</v>
      </c>
      <c r="H32" s="8" t="s">
        <v>36</v>
      </c>
      <c r="I32" s="8"/>
      <c r="J32" s="8"/>
      <c r="K32" s="8"/>
      <c r="L32" s="31" t="s">
        <v>112</v>
      </c>
      <c r="M32" s="8"/>
      <c r="N32" s="8" t="s">
        <v>36</v>
      </c>
      <c r="O32" s="8" t="s">
        <v>36</v>
      </c>
      <c r="P32" s="8"/>
      <c r="Q32" s="8"/>
      <c r="R32" s="97"/>
    </row>
    <row r="33" spans="1:19" ht="97.5" customHeight="1" x14ac:dyDescent="0.2">
      <c r="A33" s="39" t="s">
        <v>102</v>
      </c>
      <c r="B33" s="25" t="s">
        <v>145</v>
      </c>
      <c r="C33" s="15"/>
      <c r="D33" s="15"/>
      <c r="E33" s="15" t="s">
        <v>79</v>
      </c>
      <c r="F33" s="8" t="s">
        <v>36</v>
      </c>
      <c r="G33" s="8" t="s">
        <v>36</v>
      </c>
      <c r="H33" s="8" t="s">
        <v>36</v>
      </c>
      <c r="I33" s="8"/>
      <c r="J33" s="8"/>
      <c r="K33" s="8"/>
      <c r="L33" s="31" t="s">
        <v>177</v>
      </c>
      <c r="M33" s="8" t="s">
        <v>36</v>
      </c>
      <c r="N33" s="8" t="s">
        <v>36</v>
      </c>
      <c r="O33" s="30" t="s">
        <v>178</v>
      </c>
      <c r="P33" s="8"/>
      <c r="Q33" s="8"/>
      <c r="R33" s="97"/>
    </row>
    <row r="34" spans="1:19" ht="114" customHeight="1" x14ac:dyDescent="0.2">
      <c r="A34" s="38" t="s">
        <v>98</v>
      </c>
      <c r="B34" s="33" t="s">
        <v>115</v>
      </c>
      <c r="C34" s="15"/>
      <c r="D34" s="47" t="s">
        <v>104</v>
      </c>
      <c r="E34" s="15" t="s">
        <v>79</v>
      </c>
      <c r="F34" s="8"/>
      <c r="G34" s="8"/>
      <c r="H34" s="8"/>
      <c r="I34" s="8"/>
      <c r="J34" s="8"/>
      <c r="K34" s="8"/>
      <c r="L34" s="8"/>
      <c r="M34" s="8"/>
      <c r="N34" s="29" t="s">
        <v>116</v>
      </c>
      <c r="O34" s="8"/>
      <c r="P34" s="8"/>
      <c r="Q34" s="8"/>
      <c r="R34" s="97" t="s">
        <v>166</v>
      </c>
    </row>
    <row r="35" spans="1:19" ht="51" x14ac:dyDescent="0.2">
      <c r="A35" s="38" t="s">
        <v>98</v>
      </c>
      <c r="B35" s="25" t="s">
        <v>35</v>
      </c>
      <c r="C35" s="15"/>
      <c r="D35" s="15"/>
      <c r="E35" s="15" t="s">
        <v>79</v>
      </c>
      <c r="F35" s="8" t="s">
        <v>36</v>
      </c>
      <c r="G35" s="8" t="s">
        <v>36</v>
      </c>
      <c r="H35" s="8" t="s">
        <v>36</v>
      </c>
      <c r="I35" s="8"/>
      <c r="J35" s="8"/>
      <c r="K35" s="8"/>
      <c r="L35" s="8"/>
      <c r="M35" s="8" t="s">
        <v>36</v>
      </c>
      <c r="N35" s="30" t="s">
        <v>113</v>
      </c>
      <c r="O35" s="8" t="s">
        <v>36</v>
      </c>
      <c r="P35" s="8"/>
      <c r="Q35" s="8"/>
      <c r="R35" s="97"/>
    </row>
    <row r="36" spans="1:19" ht="25.5" customHeight="1" x14ac:dyDescent="0.2">
      <c r="A36" s="38" t="s">
        <v>98</v>
      </c>
      <c r="B36" s="22" t="s">
        <v>37</v>
      </c>
      <c r="C36" s="15"/>
      <c r="D36" s="15"/>
      <c r="E36" s="15" t="s">
        <v>79</v>
      </c>
      <c r="F36" s="8" t="s">
        <v>36</v>
      </c>
      <c r="G36" s="8" t="s">
        <v>36</v>
      </c>
      <c r="H36" s="8" t="s">
        <v>36</v>
      </c>
      <c r="I36" s="8"/>
      <c r="J36" s="8"/>
      <c r="K36" s="8"/>
      <c r="L36" s="8"/>
      <c r="M36" s="8"/>
      <c r="N36" s="8"/>
      <c r="O36" s="8"/>
      <c r="P36" s="8"/>
      <c r="Q36" s="8"/>
      <c r="R36" s="97"/>
    </row>
    <row r="37" spans="1:19" ht="25.5" customHeight="1" x14ac:dyDescent="0.2">
      <c r="A37" s="38" t="s">
        <v>98</v>
      </c>
      <c r="B37" s="22" t="s">
        <v>38</v>
      </c>
      <c r="C37" s="15"/>
      <c r="D37" s="15"/>
      <c r="E37" s="15" t="s">
        <v>79</v>
      </c>
      <c r="F37" s="8" t="s">
        <v>36</v>
      </c>
      <c r="G37" s="8" t="s">
        <v>36</v>
      </c>
      <c r="H37" s="8" t="s">
        <v>36</v>
      </c>
      <c r="I37" s="8"/>
      <c r="J37" s="8"/>
      <c r="K37" s="8"/>
      <c r="L37" s="8"/>
      <c r="M37" s="8"/>
      <c r="N37" s="8" t="s">
        <v>36</v>
      </c>
      <c r="O37" s="8" t="s">
        <v>36</v>
      </c>
      <c r="P37" s="8" t="s">
        <v>36</v>
      </c>
      <c r="Q37" s="8"/>
      <c r="R37" s="97"/>
    </row>
    <row r="38" spans="1:19" x14ac:dyDescent="0.2">
      <c r="A38" s="38" t="s">
        <v>98</v>
      </c>
      <c r="B38" s="22" t="s">
        <v>52</v>
      </c>
      <c r="C38" s="15"/>
      <c r="D38" s="15"/>
      <c r="E38" s="15" t="s">
        <v>79</v>
      </c>
      <c r="F38" s="8" t="s">
        <v>36</v>
      </c>
      <c r="G38" s="8" t="s">
        <v>36</v>
      </c>
      <c r="H38" s="8" t="s">
        <v>36</v>
      </c>
      <c r="I38" s="8"/>
      <c r="J38" s="8"/>
      <c r="K38" s="8"/>
      <c r="L38" s="8"/>
      <c r="M38" s="8"/>
      <c r="N38" s="8" t="s">
        <v>36</v>
      </c>
      <c r="O38" s="8" t="s">
        <v>36</v>
      </c>
      <c r="P38" s="8" t="s">
        <v>36</v>
      </c>
      <c r="Q38" s="8"/>
      <c r="R38" s="97"/>
    </row>
    <row r="39" spans="1:19" ht="140.25" x14ac:dyDescent="0.2">
      <c r="A39" s="38" t="s">
        <v>98</v>
      </c>
      <c r="B39" s="25" t="s">
        <v>126</v>
      </c>
      <c r="C39" s="15"/>
      <c r="D39" s="15"/>
      <c r="E39" s="15" t="s">
        <v>79</v>
      </c>
      <c r="F39" s="8" t="s">
        <v>36</v>
      </c>
      <c r="G39" s="8" t="s">
        <v>36</v>
      </c>
      <c r="H39" s="8" t="s">
        <v>36</v>
      </c>
      <c r="I39" s="8"/>
      <c r="J39" s="8"/>
      <c r="K39" s="8"/>
      <c r="L39" s="8" t="s">
        <v>36</v>
      </c>
      <c r="M39" s="8" t="s">
        <v>36</v>
      </c>
      <c r="N39" s="8" t="s">
        <v>36</v>
      </c>
      <c r="O39" s="8" t="s">
        <v>36</v>
      </c>
      <c r="P39" s="8"/>
      <c r="Q39" s="8"/>
      <c r="R39" s="97" t="s">
        <v>252</v>
      </c>
    </row>
    <row r="40" spans="1:19" ht="409.5" x14ac:dyDescent="0.2">
      <c r="A40" s="37" t="s">
        <v>101</v>
      </c>
      <c r="B40" s="25" t="s">
        <v>131</v>
      </c>
      <c r="C40" s="15" t="s">
        <v>158</v>
      </c>
      <c r="D40" s="50" t="s">
        <v>79</v>
      </c>
      <c r="E40" s="15" t="s">
        <v>79</v>
      </c>
      <c r="F40" s="45" t="s">
        <v>36</v>
      </c>
      <c r="G40" s="56" t="s">
        <v>148</v>
      </c>
      <c r="H40" s="45" t="s">
        <v>36</v>
      </c>
      <c r="I40" s="8"/>
      <c r="J40" s="29" t="s">
        <v>137</v>
      </c>
      <c r="K40" s="8"/>
      <c r="L40" s="8"/>
      <c r="M40" s="51" t="s">
        <v>163</v>
      </c>
      <c r="N40" s="51" t="s">
        <v>163</v>
      </c>
      <c r="O40" s="51" t="s">
        <v>146</v>
      </c>
      <c r="P40" s="51" t="s">
        <v>147</v>
      </c>
      <c r="Q40" s="8"/>
      <c r="R40" s="97" t="s">
        <v>159</v>
      </c>
      <c r="S40" s="98" t="s">
        <v>136</v>
      </c>
    </row>
    <row r="41" spans="1:19" ht="38.25" x14ac:dyDescent="0.2">
      <c r="A41" s="39" t="s">
        <v>102</v>
      </c>
      <c r="B41" s="15" t="s">
        <v>72</v>
      </c>
      <c r="C41" s="15"/>
      <c r="D41" s="15"/>
      <c r="E41" s="15" t="s">
        <v>79</v>
      </c>
      <c r="F41" s="8" t="s">
        <v>36</v>
      </c>
      <c r="G41" s="8" t="s">
        <v>36</v>
      </c>
      <c r="H41" s="8" t="s">
        <v>36</v>
      </c>
      <c r="I41" s="8"/>
      <c r="J41" s="8"/>
      <c r="K41" s="8"/>
      <c r="L41" s="8"/>
      <c r="M41" s="8"/>
      <c r="N41" s="8"/>
      <c r="O41" s="8"/>
      <c r="P41" s="8"/>
      <c r="Q41" s="8" t="s">
        <v>36</v>
      </c>
      <c r="R41" s="97"/>
    </row>
    <row r="42" spans="1:19" ht="36.75" customHeight="1" x14ac:dyDescent="0.2">
      <c r="A42" s="54" t="s">
        <v>100</v>
      </c>
      <c r="B42" s="15" t="s">
        <v>179</v>
      </c>
      <c r="C42" s="15"/>
      <c r="D42" s="15"/>
      <c r="E42" s="15"/>
      <c r="F42" s="8"/>
      <c r="G42" s="8" t="s">
        <v>36</v>
      </c>
      <c r="H42" s="8" t="s">
        <v>36</v>
      </c>
      <c r="I42" s="8"/>
      <c r="J42" s="8" t="s">
        <v>36</v>
      </c>
      <c r="K42" s="8" t="s">
        <v>36</v>
      </c>
      <c r="L42" s="8" t="s">
        <v>36</v>
      </c>
      <c r="M42" s="8" t="s">
        <v>36</v>
      </c>
      <c r="N42" s="8"/>
      <c r="O42" s="8"/>
      <c r="P42" s="8" t="s">
        <v>36</v>
      </c>
      <c r="Q42" s="8" t="s">
        <v>36</v>
      </c>
      <c r="R42" s="97"/>
    </row>
    <row r="43" spans="1:19" ht="51" x14ac:dyDescent="0.2">
      <c r="A43" s="39" t="s">
        <v>98</v>
      </c>
      <c r="B43" s="25" t="s">
        <v>44</v>
      </c>
      <c r="C43" s="15"/>
      <c r="D43" s="15"/>
      <c r="E43" s="15" t="s">
        <v>79</v>
      </c>
      <c r="F43" s="8"/>
      <c r="G43" s="8"/>
      <c r="H43" s="8" t="s">
        <v>36</v>
      </c>
      <c r="I43" s="8" t="s">
        <v>36</v>
      </c>
      <c r="J43" s="8" t="s">
        <v>36</v>
      </c>
      <c r="K43" s="8"/>
      <c r="L43" s="8"/>
      <c r="M43" s="8"/>
      <c r="N43" s="8" t="s">
        <v>36</v>
      </c>
      <c r="O43" s="8" t="s">
        <v>36</v>
      </c>
      <c r="P43" s="8" t="s">
        <v>36</v>
      </c>
      <c r="Q43" s="8" t="s">
        <v>36</v>
      </c>
      <c r="R43" s="97" t="s">
        <v>167</v>
      </c>
    </row>
    <row r="44" spans="1:19" ht="25.5" x14ac:dyDescent="0.2">
      <c r="A44" s="39" t="s">
        <v>98</v>
      </c>
      <c r="B44" s="15" t="s">
        <v>43</v>
      </c>
      <c r="C44" s="15"/>
      <c r="D44" s="15"/>
      <c r="E44" s="15" t="s">
        <v>79</v>
      </c>
      <c r="F44" s="8" t="s">
        <v>36</v>
      </c>
      <c r="G44" s="8" t="s">
        <v>36</v>
      </c>
      <c r="H44" s="8" t="s">
        <v>36</v>
      </c>
      <c r="I44" s="8" t="s">
        <v>36</v>
      </c>
      <c r="J44" s="8" t="s">
        <v>36</v>
      </c>
      <c r="K44" s="8" t="s">
        <v>36</v>
      </c>
      <c r="L44" s="8" t="s">
        <v>36</v>
      </c>
      <c r="M44" s="8"/>
      <c r="N44" s="8" t="s">
        <v>36</v>
      </c>
      <c r="O44" s="8" t="s">
        <v>36</v>
      </c>
      <c r="P44" s="8" t="s">
        <v>36</v>
      </c>
      <c r="Q44" s="8" t="s">
        <v>36</v>
      </c>
      <c r="R44" s="97"/>
    </row>
    <row r="45" spans="1:19" ht="25.5" x14ac:dyDescent="0.2">
      <c r="A45" s="39" t="s">
        <v>98</v>
      </c>
      <c r="B45" s="28" t="s">
        <v>62</v>
      </c>
      <c r="C45" s="15"/>
      <c r="D45" s="15"/>
      <c r="E45" s="15" t="s">
        <v>79</v>
      </c>
      <c r="F45" s="8"/>
      <c r="G45" s="8"/>
      <c r="H45" s="8"/>
      <c r="I45" s="8"/>
      <c r="J45" s="8"/>
      <c r="K45" s="8"/>
      <c r="L45" s="8"/>
      <c r="M45" s="8"/>
      <c r="N45" s="8" t="s">
        <v>36</v>
      </c>
      <c r="O45" s="8" t="s">
        <v>36</v>
      </c>
      <c r="P45" s="8" t="s">
        <v>36</v>
      </c>
      <c r="Q45" s="8" t="s">
        <v>36</v>
      </c>
      <c r="R45" s="97"/>
    </row>
    <row r="46" spans="1:19" x14ac:dyDescent="0.2">
      <c r="A46" s="39" t="s">
        <v>98</v>
      </c>
      <c r="B46" s="28" t="s">
        <v>63</v>
      </c>
      <c r="C46" s="15"/>
      <c r="D46" s="15"/>
      <c r="E46" s="15" t="s">
        <v>79</v>
      </c>
      <c r="F46" s="8"/>
      <c r="G46" s="8"/>
      <c r="H46" s="8"/>
      <c r="I46" s="8"/>
      <c r="J46" s="8"/>
      <c r="K46" s="8"/>
      <c r="L46" s="8"/>
      <c r="M46" s="8"/>
      <c r="N46" s="8" t="s">
        <v>36</v>
      </c>
      <c r="O46" s="8"/>
      <c r="P46" s="8"/>
      <c r="Q46" s="8" t="s">
        <v>36</v>
      </c>
      <c r="R46" s="97"/>
    </row>
    <row r="47" spans="1:19" ht="25.5" x14ac:dyDescent="0.2">
      <c r="A47" s="39" t="s">
        <v>98</v>
      </c>
      <c r="B47" s="28" t="s">
        <v>64</v>
      </c>
      <c r="C47" s="15"/>
      <c r="D47" s="15"/>
      <c r="E47" s="15" t="s">
        <v>79</v>
      </c>
      <c r="F47" s="8" t="s">
        <v>36</v>
      </c>
      <c r="G47" s="8"/>
      <c r="H47" s="8"/>
      <c r="I47" s="8"/>
      <c r="J47" s="8"/>
      <c r="K47" s="8"/>
      <c r="L47" s="8"/>
      <c r="M47" s="8"/>
      <c r="N47" s="8"/>
      <c r="O47" s="8" t="s">
        <v>36</v>
      </c>
      <c r="P47" s="8" t="s">
        <v>36</v>
      </c>
      <c r="Q47" s="8" t="s">
        <v>36</v>
      </c>
      <c r="R47" s="97"/>
    </row>
    <row r="48" spans="1:19" ht="25.5" x14ac:dyDescent="0.2">
      <c r="A48" s="39" t="s">
        <v>98</v>
      </c>
      <c r="B48" s="28" t="s">
        <v>65</v>
      </c>
      <c r="C48" s="15"/>
      <c r="D48" s="15"/>
      <c r="E48" s="15" t="s">
        <v>79</v>
      </c>
      <c r="F48" s="8" t="s">
        <v>36</v>
      </c>
      <c r="G48" s="8" t="s">
        <v>36</v>
      </c>
      <c r="H48" s="8"/>
      <c r="I48" s="8"/>
      <c r="J48" s="8"/>
      <c r="K48" s="8"/>
      <c r="L48" s="8"/>
      <c r="M48" s="8"/>
      <c r="N48" s="8"/>
      <c r="O48" s="8"/>
      <c r="P48" s="8" t="s">
        <v>36</v>
      </c>
      <c r="Q48" s="8" t="s">
        <v>36</v>
      </c>
      <c r="R48" s="97"/>
    </row>
    <row r="49" spans="1:19" ht="25.5" x14ac:dyDescent="0.2">
      <c r="A49" s="39" t="s">
        <v>98</v>
      </c>
      <c r="B49" s="28" t="s">
        <v>66</v>
      </c>
      <c r="C49" s="15"/>
      <c r="D49" s="15"/>
      <c r="E49" s="15" t="s">
        <v>79</v>
      </c>
      <c r="F49" s="8"/>
      <c r="G49" s="8" t="s">
        <v>36</v>
      </c>
      <c r="H49" s="8" t="s">
        <v>36</v>
      </c>
      <c r="I49" s="8"/>
      <c r="J49" s="8"/>
      <c r="K49" s="8"/>
      <c r="L49" s="8"/>
      <c r="M49" s="8"/>
      <c r="N49" s="8"/>
      <c r="O49" s="8"/>
      <c r="P49" s="8" t="s">
        <v>36</v>
      </c>
      <c r="Q49" s="8" t="s">
        <v>36</v>
      </c>
      <c r="R49" s="97"/>
    </row>
    <row r="50" spans="1:19" ht="25.5" x14ac:dyDescent="0.2">
      <c r="A50" s="39" t="s">
        <v>98</v>
      </c>
      <c r="B50" s="28" t="s">
        <v>67</v>
      </c>
      <c r="C50" s="15"/>
      <c r="D50" s="15"/>
      <c r="E50" s="15" t="s">
        <v>79</v>
      </c>
      <c r="F50" s="8" t="s">
        <v>36</v>
      </c>
      <c r="G50" s="8" t="s">
        <v>36</v>
      </c>
      <c r="H50" s="8" t="s">
        <v>36</v>
      </c>
      <c r="I50" s="8"/>
      <c r="J50" s="8"/>
      <c r="K50" s="8"/>
      <c r="L50" s="8"/>
      <c r="M50" s="8"/>
      <c r="N50" s="8"/>
      <c r="O50" s="8"/>
      <c r="P50" s="8" t="s">
        <v>36</v>
      </c>
      <c r="Q50" s="8" t="s">
        <v>36</v>
      </c>
      <c r="R50" s="97"/>
    </row>
    <row r="51" spans="1:19" ht="38.25" x14ac:dyDescent="0.2">
      <c r="A51" s="39" t="s">
        <v>98</v>
      </c>
      <c r="B51" s="28" t="s">
        <v>68</v>
      </c>
      <c r="C51" s="15"/>
      <c r="D51" s="15"/>
      <c r="E51" s="15" t="s">
        <v>79</v>
      </c>
      <c r="F51" s="8" t="s">
        <v>36</v>
      </c>
      <c r="G51" s="8" t="s">
        <v>36</v>
      </c>
      <c r="H51" s="8" t="s">
        <v>36</v>
      </c>
      <c r="I51" s="8" t="s">
        <v>36</v>
      </c>
      <c r="J51" s="8" t="s">
        <v>36</v>
      </c>
      <c r="K51" s="8" t="s">
        <v>36</v>
      </c>
      <c r="L51" s="8"/>
      <c r="M51" s="8"/>
      <c r="N51" s="8"/>
      <c r="O51" s="8"/>
      <c r="P51" s="8" t="s">
        <v>36</v>
      </c>
      <c r="Q51" s="8" t="s">
        <v>36</v>
      </c>
      <c r="R51" s="97"/>
    </row>
    <row r="52" spans="1:19" ht="25.5" x14ac:dyDescent="0.2">
      <c r="A52" s="39" t="s">
        <v>98</v>
      </c>
      <c r="B52" s="28" t="s">
        <v>69</v>
      </c>
      <c r="C52" s="15"/>
      <c r="D52" s="15"/>
      <c r="E52" s="15" t="s">
        <v>79</v>
      </c>
      <c r="F52" s="8" t="s">
        <v>36</v>
      </c>
      <c r="G52" s="8" t="s">
        <v>36</v>
      </c>
      <c r="H52" s="8" t="s">
        <v>36</v>
      </c>
      <c r="I52" s="8" t="s">
        <v>36</v>
      </c>
      <c r="J52" s="8" t="s">
        <v>36</v>
      </c>
      <c r="K52" s="8" t="s">
        <v>36</v>
      </c>
      <c r="L52" s="8"/>
      <c r="M52" s="8"/>
      <c r="N52" s="8"/>
      <c r="O52" s="8"/>
      <c r="P52" s="8" t="s">
        <v>36</v>
      </c>
      <c r="Q52" s="8" t="s">
        <v>36</v>
      </c>
      <c r="R52" s="97"/>
    </row>
    <row r="53" spans="1:19" ht="38.25" x14ac:dyDescent="0.2">
      <c r="A53" s="39" t="s">
        <v>98</v>
      </c>
      <c r="B53" s="25" t="s">
        <v>73</v>
      </c>
      <c r="C53" s="15"/>
      <c r="D53" s="15"/>
      <c r="E53" s="15" t="s">
        <v>79</v>
      </c>
      <c r="F53" s="8" t="s">
        <v>36</v>
      </c>
      <c r="G53" s="8" t="s">
        <v>36</v>
      </c>
      <c r="H53" s="8" t="s">
        <v>36</v>
      </c>
      <c r="I53" s="8" t="s">
        <v>36</v>
      </c>
      <c r="J53" s="8" t="s">
        <v>36</v>
      </c>
      <c r="K53" s="8" t="s">
        <v>36</v>
      </c>
      <c r="L53" s="8" t="s">
        <v>36</v>
      </c>
      <c r="M53" s="8" t="s">
        <v>36</v>
      </c>
      <c r="N53" s="8" t="s">
        <v>36</v>
      </c>
      <c r="O53" s="8" t="s">
        <v>36</v>
      </c>
      <c r="P53" s="8" t="s">
        <v>36</v>
      </c>
      <c r="Q53" s="8" t="s">
        <v>36</v>
      </c>
      <c r="R53" s="97"/>
    </row>
    <row r="54" spans="1:19" ht="76.5" x14ac:dyDescent="0.2">
      <c r="A54" s="39" t="s">
        <v>98</v>
      </c>
      <c r="B54" s="25" t="s">
        <v>153</v>
      </c>
      <c r="C54" s="15"/>
      <c r="D54" s="15"/>
      <c r="E54" s="15" t="s">
        <v>79</v>
      </c>
      <c r="F54" s="8" t="s">
        <v>36</v>
      </c>
      <c r="G54" s="8" t="s">
        <v>36</v>
      </c>
      <c r="H54" s="8" t="s">
        <v>36</v>
      </c>
      <c r="I54" s="8" t="s">
        <v>36</v>
      </c>
      <c r="J54" s="8" t="s">
        <v>36</v>
      </c>
      <c r="K54" s="31" t="s">
        <v>152</v>
      </c>
      <c r="L54" s="8" t="s">
        <v>36</v>
      </c>
      <c r="M54" s="8" t="s">
        <v>36</v>
      </c>
      <c r="N54" s="8" t="s">
        <v>36</v>
      </c>
      <c r="O54" s="8" t="s">
        <v>36</v>
      </c>
      <c r="P54" s="8" t="s">
        <v>36</v>
      </c>
      <c r="Q54" s="8" t="s">
        <v>36</v>
      </c>
      <c r="R54" s="97"/>
    </row>
    <row r="55" spans="1:19" ht="60.75" customHeight="1" x14ac:dyDescent="0.2">
      <c r="A55" s="39" t="s">
        <v>98</v>
      </c>
      <c r="B55" s="25" t="s">
        <v>40</v>
      </c>
      <c r="C55" s="15"/>
      <c r="D55" s="15"/>
      <c r="E55" s="15" t="s">
        <v>79</v>
      </c>
      <c r="F55" s="8" t="s">
        <v>36</v>
      </c>
      <c r="G55" s="8" t="s">
        <v>36</v>
      </c>
      <c r="H55" s="8" t="s">
        <v>36</v>
      </c>
      <c r="I55" s="8" t="s">
        <v>36</v>
      </c>
      <c r="J55" s="8" t="s">
        <v>36</v>
      </c>
      <c r="K55" s="8" t="s">
        <v>36</v>
      </c>
      <c r="L55" s="31" t="s">
        <v>107</v>
      </c>
      <c r="M55" s="8" t="s">
        <v>36</v>
      </c>
      <c r="N55" s="8" t="s">
        <v>36</v>
      </c>
      <c r="O55" s="8" t="s">
        <v>36</v>
      </c>
      <c r="P55" s="8" t="s">
        <v>36</v>
      </c>
      <c r="Q55" s="8" t="s">
        <v>36</v>
      </c>
      <c r="R55" s="97"/>
    </row>
    <row r="56" spans="1:19" ht="38.25" x14ac:dyDescent="0.2">
      <c r="A56" s="39" t="s">
        <v>98</v>
      </c>
      <c r="B56" s="25" t="s">
        <v>74</v>
      </c>
      <c r="C56" s="15"/>
      <c r="D56" s="15"/>
      <c r="E56" s="15" t="s">
        <v>79</v>
      </c>
      <c r="F56" s="8" t="s">
        <v>36</v>
      </c>
      <c r="G56" s="8" t="s">
        <v>36</v>
      </c>
      <c r="H56" s="8" t="s">
        <v>36</v>
      </c>
      <c r="I56" s="8" t="s">
        <v>36</v>
      </c>
      <c r="J56" s="8" t="s">
        <v>36</v>
      </c>
      <c r="K56" s="8" t="s">
        <v>36</v>
      </c>
      <c r="L56" s="8" t="s">
        <v>36</v>
      </c>
      <c r="M56" s="8" t="s">
        <v>36</v>
      </c>
      <c r="N56" s="8" t="s">
        <v>36</v>
      </c>
      <c r="O56" s="8" t="s">
        <v>36</v>
      </c>
      <c r="P56" s="8" t="s">
        <v>36</v>
      </c>
      <c r="Q56" s="8" t="s">
        <v>36</v>
      </c>
      <c r="R56" s="97"/>
    </row>
    <row r="57" spans="1:19" ht="38.25" x14ac:dyDescent="0.2">
      <c r="A57" s="40" t="s">
        <v>100</v>
      </c>
      <c r="B57" s="15" t="s">
        <v>60</v>
      </c>
      <c r="C57" s="15"/>
      <c r="D57" s="15"/>
      <c r="E57" s="15" t="s">
        <v>79</v>
      </c>
      <c r="F57" s="8"/>
      <c r="G57" s="8"/>
      <c r="H57" s="8"/>
      <c r="I57" s="31" t="s">
        <v>156</v>
      </c>
      <c r="J57" s="8" t="s">
        <v>36</v>
      </c>
      <c r="K57" s="8" t="s">
        <v>36</v>
      </c>
      <c r="L57" s="8"/>
      <c r="M57" s="8" t="s">
        <v>36</v>
      </c>
      <c r="N57" s="8"/>
      <c r="O57" s="8"/>
      <c r="P57" s="8"/>
      <c r="Q57" s="8" t="s">
        <v>36</v>
      </c>
      <c r="R57" s="97"/>
    </row>
    <row r="58" spans="1:19" ht="25.5" x14ac:dyDescent="0.2">
      <c r="A58" s="40" t="s">
        <v>100</v>
      </c>
      <c r="B58" s="15" t="s">
        <v>39</v>
      </c>
      <c r="C58" s="15"/>
      <c r="D58" s="15"/>
      <c r="E58" s="15" t="s">
        <v>79</v>
      </c>
      <c r="F58" s="8"/>
      <c r="G58" s="8"/>
      <c r="H58" s="8"/>
      <c r="I58" s="31" t="s">
        <v>156</v>
      </c>
      <c r="J58" s="8" t="s">
        <v>36</v>
      </c>
      <c r="K58" s="8" t="s">
        <v>36</v>
      </c>
      <c r="L58" s="8" t="s">
        <v>36</v>
      </c>
      <c r="M58" s="8" t="s">
        <v>36</v>
      </c>
      <c r="N58" s="8"/>
      <c r="O58" s="8"/>
      <c r="P58" s="8"/>
      <c r="Q58" s="8" t="s">
        <v>36</v>
      </c>
      <c r="R58" s="97"/>
      <c r="S58" s="99"/>
    </row>
    <row r="59" spans="1:19" ht="25.5" x14ac:dyDescent="0.2">
      <c r="A59" s="36" t="s">
        <v>97</v>
      </c>
      <c r="B59" s="15" t="s">
        <v>89</v>
      </c>
      <c r="C59" s="15"/>
      <c r="D59" s="47" t="s">
        <v>104</v>
      </c>
      <c r="E59" s="15" t="s">
        <v>79</v>
      </c>
      <c r="F59" s="8" t="s">
        <v>36</v>
      </c>
      <c r="G59" s="8"/>
      <c r="H59" s="8"/>
      <c r="I59" s="8" t="s">
        <v>36</v>
      </c>
      <c r="J59" s="8" t="s">
        <v>36</v>
      </c>
      <c r="K59" s="8" t="s">
        <v>36</v>
      </c>
      <c r="L59" s="8" t="s">
        <v>36</v>
      </c>
      <c r="M59" s="8" t="s">
        <v>36</v>
      </c>
      <c r="N59" s="8"/>
      <c r="O59" s="8"/>
      <c r="P59" s="8" t="s">
        <v>36</v>
      </c>
      <c r="Q59" s="8" t="s">
        <v>36</v>
      </c>
      <c r="R59" s="97"/>
      <c r="S59" s="99"/>
    </row>
    <row r="60" spans="1:19" ht="76.5" x14ac:dyDescent="0.2">
      <c r="A60" s="36" t="s">
        <v>97</v>
      </c>
      <c r="B60" s="22" t="s">
        <v>54</v>
      </c>
      <c r="C60" s="15"/>
      <c r="D60" s="15"/>
      <c r="E60" s="15" t="s">
        <v>79</v>
      </c>
      <c r="F60" s="55" t="s">
        <v>75</v>
      </c>
      <c r="G60" s="8"/>
      <c r="H60" s="8"/>
      <c r="I60" s="8"/>
      <c r="J60" s="8"/>
      <c r="K60" s="8"/>
      <c r="L60" s="8"/>
      <c r="M60" s="8"/>
      <c r="N60" s="8"/>
      <c r="O60" s="8"/>
      <c r="P60" s="8"/>
      <c r="Q60" s="8"/>
      <c r="R60" s="74"/>
      <c r="S60" s="99"/>
    </row>
    <row r="61" spans="1:19" ht="276" customHeight="1" x14ac:dyDescent="0.2">
      <c r="A61" s="36" t="s">
        <v>97</v>
      </c>
      <c r="B61" s="22" t="s">
        <v>119</v>
      </c>
      <c r="C61" s="15"/>
      <c r="D61" s="15" t="s">
        <v>199</v>
      </c>
      <c r="E61" s="15" t="s">
        <v>79</v>
      </c>
      <c r="F61" s="55" t="s">
        <v>200</v>
      </c>
      <c r="G61" s="57" t="s">
        <v>149</v>
      </c>
      <c r="H61" s="8"/>
      <c r="I61" s="29" t="s">
        <v>201</v>
      </c>
      <c r="J61" s="8"/>
      <c r="K61" s="8"/>
      <c r="L61" s="8"/>
      <c r="M61" s="8"/>
      <c r="N61" s="8"/>
      <c r="O61" s="8"/>
      <c r="P61" s="8"/>
      <c r="Q61" s="8"/>
      <c r="R61" s="76" t="s">
        <v>127</v>
      </c>
      <c r="S61" s="99"/>
    </row>
    <row r="62" spans="1:19" ht="102" x14ac:dyDescent="0.2">
      <c r="A62" s="36" t="s">
        <v>97</v>
      </c>
      <c r="B62" s="22" t="s">
        <v>55</v>
      </c>
      <c r="C62" s="16" t="s">
        <v>85</v>
      </c>
      <c r="D62" s="16" t="s">
        <v>78</v>
      </c>
      <c r="E62" s="15" t="s">
        <v>106</v>
      </c>
      <c r="F62" s="8" t="s">
        <v>36</v>
      </c>
      <c r="G62" s="29" t="s">
        <v>117</v>
      </c>
      <c r="H62" s="8" t="s">
        <v>36</v>
      </c>
      <c r="I62" s="30" t="s">
        <v>118</v>
      </c>
      <c r="J62" s="8"/>
      <c r="K62" s="8"/>
      <c r="L62" s="8"/>
      <c r="M62" s="8"/>
      <c r="N62" s="8"/>
      <c r="O62" s="8"/>
      <c r="P62" s="8"/>
      <c r="Q62" s="8" t="s">
        <v>36</v>
      </c>
      <c r="R62" s="102" t="s">
        <v>203</v>
      </c>
      <c r="S62" s="99"/>
    </row>
    <row r="63" spans="1:19" ht="63.75" x14ac:dyDescent="0.2">
      <c r="A63" s="39" t="s">
        <v>98</v>
      </c>
      <c r="B63" s="22" t="s">
        <v>56</v>
      </c>
      <c r="C63" s="15"/>
      <c r="D63" s="15"/>
      <c r="E63" s="15" t="s">
        <v>79</v>
      </c>
      <c r="F63" s="8" t="s">
        <v>36</v>
      </c>
      <c r="G63" s="8"/>
      <c r="H63" s="8"/>
      <c r="I63" s="8" t="s">
        <v>36</v>
      </c>
      <c r="J63" s="8" t="s">
        <v>36</v>
      </c>
      <c r="K63" s="8" t="s">
        <v>36</v>
      </c>
      <c r="L63" s="8" t="s">
        <v>36</v>
      </c>
      <c r="M63" s="8"/>
      <c r="N63" s="8"/>
      <c r="O63" s="8"/>
      <c r="P63" s="8"/>
      <c r="Q63" s="8"/>
      <c r="R63" s="76" t="s">
        <v>133</v>
      </c>
      <c r="S63" s="99"/>
    </row>
    <row r="64" spans="1:19" ht="76.5" x14ac:dyDescent="0.2">
      <c r="A64" s="39" t="s">
        <v>98</v>
      </c>
      <c r="B64" s="22" t="s">
        <v>244</v>
      </c>
      <c r="C64" s="15"/>
      <c r="D64" s="15"/>
      <c r="E64" s="15"/>
      <c r="F64" s="8"/>
      <c r="G64" s="8"/>
      <c r="H64" s="8"/>
      <c r="I64" s="8"/>
      <c r="J64" s="8"/>
      <c r="K64" s="8"/>
      <c r="L64" s="8"/>
      <c r="M64" s="8"/>
      <c r="N64" s="8"/>
      <c r="O64" s="8"/>
      <c r="P64" s="8"/>
      <c r="Q64" s="8"/>
      <c r="R64" s="48" t="s">
        <v>340</v>
      </c>
      <c r="S64" s="99"/>
    </row>
    <row r="65" spans="1:19" ht="25.5" x14ac:dyDescent="0.2">
      <c r="A65" s="39" t="s">
        <v>98</v>
      </c>
      <c r="B65" s="22" t="s">
        <v>57</v>
      </c>
      <c r="C65" s="15"/>
      <c r="D65" s="15"/>
      <c r="E65" s="15" t="s">
        <v>79</v>
      </c>
      <c r="F65" s="8" t="s">
        <v>36</v>
      </c>
      <c r="G65" s="8"/>
      <c r="H65" s="8"/>
      <c r="I65" s="30" t="s">
        <v>120</v>
      </c>
      <c r="J65" s="8" t="s">
        <v>36</v>
      </c>
      <c r="K65" s="8" t="s">
        <v>36</v>
      </c>
      <c r="L65" s="8" t="s">
        <v>36</v>
      </c>
      <c r="M65" s="8"/>
      <c r="N65" s="8"/>
      <c r="O65" s="8"/>
      <c r="P65" s="8"/>
      <c r="Q65" s="8"/>
      <c r="R65" s="97"/>
      <c r="S65" s="99"/>
    </row>
    <row r="66" spans="1:19" ht="409.5" x14ac:dyDescent="0.2">
      <c r="A66" s="36" t="s">
        <v>97</v>
      </c>
      <c r="B66" s="22" t="s">
        <v>121</v>
      </c>
      <c r="C66" s="15"/>
      <c r="D66" s="15"/>
      <c r="E66" s="15" t="s">
        <v>79</v>
      </c>
      <c r="F66" s="8" t="s">
        <v>36</v>
      </c>
      <c r="G66" s="8"/>
      <c r="H66" s="8"/>
      <c r="I66" s="29" t="s">
        <v>169</v>
      </c>
      <c r="J66" s="29" t="s">
        <v>174</v>
      </c>
      <c r="K66" s="29" t="s">
        <v>171</v>
      </c>
      <c r="L66" s="29" t="s">
        <v>168</v>
      </c>
      <c r="M66" s="8"/>
      <c r="N66" s="29" t="s">
        <v>170</v>
      </c>
      <c r="O66" s="8" t="s">
        <v>36</v>
      </c>
      <c r="P66" s="8"/>
      <c r="Q66" s="29" t="s">
        <v>172</v>
      </c>
      <c r="R66" s="97" t="s">
        <v>245</v>
      </c>
      <c r="S66" s="97" t="s">
        <v>173</v>
      </c>
    </row>
    <row r="67" spans="1:19" ht="242.25" x14ac:dyDescent="0.2">
      <c r="A67" s="37" t="s">
        <v>101</v>
      </c>
      <c r="B67" s="22" t="s">
        <v>160</v>
      </c>
      <c r="C67" s="15"/>
      <c r="D67" s="15"/>
      <c r="E67" s="15" t="s">
        <v>79</v>
      </c>
      <c r="F67" s="51" t="s">
        <v>161</v>
      </c>
      <c r="G67" s="51" t="s">
        <v>161</v>
      </c>
      <c r="H67" s="8"/>
      <c r="I67" s="8"/>
      <c r="J67" s="51" t="s">
        <v>161</v>
      </c>
      <c r="K67" s="51" t="s">
        <v>161</v>
      </c>
      <c r="L67" s="51" t="s">
        <v>36</v>
      </c>
      <c r="M67" s="49"/>
      <c r="N67" s="51" t="s">
        <v>162</v>
      </c>
      <c r="O67" s="51" t="s">
        <v>162</v>
      </c>
      <c r="P67" s="8"/>
      <c r="Q67" s="8"/>
      <c r="R67" s="97" t="s">
        <v>202</v>
      </c>
      <c r="S67" s="99"/>
    </row>
    <row r="68" spans="1:19" ht="38.25" x14ac:dyDescent="0.2">
      <c r="A68" s="39" t="s">
        <v>98</v>
      </c>
      <c r="B68" s="22" t="s">
        <v>151</v>
      </c>
      <c r="C68" s="15"/>
      <c r="D68" s="15"/>
      <c r="E68" s="15" t="s">
        <v>79</v>
      </c>
      <c r="F68" s="8"/>
      <c r="G68" s="8" t="s">
        <v>36</v>
      </c>
      <c r="H68" s="8"/>
      <c r="I68" s="8"/>
      <c r="J68" s="8"/>
      <c r="K68" s="8" t="s">
        <v>36</v>
      </c>
      <c r="L68" s="8" t="s">
        <v>36</v>
      </c>
      <c r="M68" s="8"/>
      <c r="N68" s="8" t="s">
        <v>36</v>
      </c>
      <c r="O68" s="8" t="s">
        <v>36</v>
      </c>
      <c r="P68" s="8"/>
      <c r="Q68" s="8"/>
      <c r="R68" s="97"/>
      <c r="S68" s="99"/>
    </row>
    <row r="69" spans="1:19" ht="25.5" x14ac:dyDescent="0.2">
      <c r="A69" s="39" t="s">
        <v>98</v>
      </c>
      <c r="B69" s="22" t="s">
        <v>58</v>
      </c>
      <c r="C69" s="15"/>
      <c r="D69" s="15"/>
      <c r="E69" s="15" t="s">
        <v>79</v>
      </c>
      <c r="F69" s="8" t="s">
        <v>36</v>
      </c>
      <c r="G69" s="8" t="s">
        <v>36</v>
      </c>
      <c r="H69" s="8"/>
      <c r="I69" s="8"/>
      <c r="J69" s="8" t="s">
        <v>36</v>
      </c>
      <c r="K69" s="8" t="s">
        <v>36</v>
      </c>
      <c r="L69" s="8" t="s">
        <v>36</v>
      </c>
      <c r="M69" s="8"/>
      <c r="N69" s="8" t="s">
        <v>36</v>
      </c>
      <c r="O69" s="8" t="s">
        <v>36</v>
      </c>
      <c r="P69" s="8"/>
      <c r="Q69" s="8"/>
      <c r="R69" s="97"/>
      <c r="S69" s="99"/>
    </row>
    <row r="70" spans="1:19" ht="38.25" x14ac:dyDescent="0.2">
      <c r="A70" s="39" t="s">
        <v>98</v>
      </c>
      <c r="B70" s="24" t="s">
        <v>51</v>
      </c>
      <c r="C70" s="15"/>
      <c r="D70" s="15"/>
      <c r="E70" s="15" t="s">
        <v>79</v>
      </c>
      <c r="F70" s="8"/>
      <c r="G70" s="8"/>
      <c r="H70" s="8"/>
      <c r="I70" s="8"/>
      <c r="J70" s="8"/>
      <c r="K70" s="8" t="s">
        <v>36</v>
      </c>
      <c r="L70" s="8" t="s">
        <v>36</v>
      </c>
      <c r="M70" s="8"/>
      <c r="N70" s="8" t="s">
        <v>36</v>
      </c>
      <c r="O70" s="8" t="s">
        <v>36</v>
      </c>
      <c r="P70" s="8"/>
      <c r="Q70" s="8"/>
      <c r="R70" s="97"/>
      <c r="S70" s="99"/>
    </row>
    <row r="71" spans="1:19" ht="38.25" x14ac:dyDescent="0.2">
      <c r="A71" s="39" t="s">
        <v>98</v>
      </c>
      <c r="B71" s="24" t="s">
        <v>53</v>
      </c>
      <c r="C71" s="15"/>
      <c r="D71" s="15"/>
      <c r="E71" s="15" t="s">
        <v>79</v>
      </c>
      <c r="F71" s="8" t="s">
        <v>36</v>
      </c>
      <c r="G71" s="8" t="s">
        <v>36</v>
      </c>
      <c r="H71" s="8"/>
      <c r="I71" s="8"/>
      <c r="J71" s="8"/>
      <c r="K71" s="8"/>
      <c r="L71" s="8"/>
      <c r="M71" s="8"/>
      <c r="N71" s="8" t="s">
        <v>36</v>
      </c>
      <c r="O71" s="8" t="s">
        <v>36</v>
      </c>
      <c r="P71" s="8" t="s">
        <v>36</v>
      </c>
      <c r="Q71" s="8"/>
      <c r="R71" s="97"/>
      <c r="S71" s="99"/>
    </row>
    <row r="72" spans="1:19" ht="38.25" x14ac:dyDescent="0.2">
      <c r="A72" s="39" t="s">
        <v>98</v>
      </c>
      <c r="B72" s="25" t="s">
        <v>61</v>
      </c>
      <c r="C72" s="15"/>
      <c r="D72" s="15"/>
      <c r="E72" s="15" t="s">
        <v>79</v>
      </c>
      <c r="F72" s="8" t="s">
        <v>36</v>
      </c>
      <c r="G72" s="8" t="s">
        <v>36</v>
      </c>
      <c r="H72" s="8"/>
      <c r="I72" s="8"/>
      <c r="J72" s="8" t="s">
        <v>36</v>
      </c>
      <c r="K72" s="8" t="s">
        <v>36</v>
      </c>
      <c r="L72" s="8" t="s">
        <v>36</v>
      </c>
      <c r="M72" s="8"/>
      <c r="N72" s="8"/>
      <c r="O72" s="8"/>
      <c r="P72" s="8"/>
      <c r="Q72" s="8"/>
      <c r="R72" s="97"/>
      <c r="S72" s="99"/>
    </row>
    <row r="73" spans="1:19" ht="102" x14ac:dyDescent="0.2">
      <c r="A73" s="36" t="s">
        <v>97</v>
      </c>
      <c r="B73" s="22" t="s">
        <v>128</v>
      </c>
      <c r="C73" s="15"/>
      <c r="D73" s="15"/>
      <c r="E73" s="15" t="s">
        <v>79</v>
      </c>
      <c r="F73" s="29" t="s">
        <v>75</v>
      </c>
      <c r="G73" s="8" t="s">
        <v>36</v>
      </c>
      <c r="H73" s="8" t="s">
        <v>36</v>
      </c>
      <c r="I73" s="30" t="s">
        <v>150</v>
      </c>
      <c r="J73" s="8" t="s">
        <v>36</v>
      </c>
      <c r="K73" s="8" t="s">
        <v>36</v>
      </c>
      <c r="L73" s="8"/>
      <c r="M73" s="8"/>
      <c r="N73" s="8"/>
      <c r="O73" s="8"/>
      <c r="P73" s="8"/>
      <c r="Q73" s="8"/>
      <c r="R73" s="100"/>
      <c r="S73" s="99"/>
    </row>
    <row r="74" spans="1:19" ht="51" x14ac:dyDescent="0.2">
      <c r="A74" s="39" t="s">
        <v>98</v>
      </c>
      <c r="B74" s="34" t="s">
        <v>88</v>
      </c>
      <c r="E74" s="15" t="s">
        <v>79</v>
      </c>
      <c r="F74" s="8"/>
      <c r="G74" s="8"/>
      <c r="H74" s="8" t="s">
        <v>36</v>
      </c>
      <c r="I74" s="8" t="s">
        <v>36</v>
      </c>
      <c r="J74" s="8" t="s">
        <v>36</v>
      </c>
      <c r="K74" s="8" t="s">
        <v>36</v>
      </c>
      <c r="L74" s="8"/>
      <c r="M74" s="8"/>
      <c r="N74" s="8"/>
      <c r="O74" s="8"/>
      <c r="P74" s="8" t="s">
        <v>36</v>
      </c>
      <c r="Q74" s="8" t="s">
        <v>36</v>
      </c>
      <c r="R74" s="100"/>
      <c r="S74" s="99"/>
    </row>
    <row r="75" spans="1:19" ht="409.5" x14ac:dyDescent="0.2">
      <c r="A75" s="36" t="s">
        <v>97</v>
      </c>
      <c r="B75" s="13" t="s">
        <v>157</v>
      </c>
      <c r="E75" s="15" t="s">
        <v>79</v>
      </c>
      <c r="F75" s="8"/>
      <c r="G75" s="8"/>
      <c r="H75" s="8" t="s">
        <v>36</v>
      </c>
      <c r="I75" s="29" t="s">
        <v>130</v>
      </c>
      <c r="J75" s="8" t="s">
        <v>36</v>
      </c>
      <c r="K75" s="8" t="s">
        <v>36</v>
      </c>
      <c r="L75" s="8"/>
      <c r="M75" s="8"/>
      <c r="N75" s="8"/>
      <c r="O75" s="8"/>
      <c r="P75" s="8" t="s">
        <v>36</v>
      </c>
      <c r="Q75" s="8" t="s">
        <v>36</v>
      </c>
      <c r="R75" s="98" t="s">
        <v>204</v>
      </c>
      <c r="S75" s="98" t="s">
        <v>205</v>
      </c>
    </row>
    <row r="76" spans="1:19" ht="99" customHeight="1" x14ac:dyDescent="0.2">
      <c r="A76" s="39" t="s">
        <v>98</v>
      </c>
      <c r="B76" s="13" t="s">
        <v>175</v>
      </c>
      <c r="E76" s="15" t="s">
        <v>79</v>
      </c>
      <c r="F76" s="8" t="s">
        <v>36</v>
      </c>
      <c r="G76" s="8" t="s">
        <v>36</v>
      </c>
      <c r="H76" s="8" t="s">
        <v>36</v>
      </c>
      <c r="I76" s="8" t="s">
        <v>36</v>
      </c>
      <c r="J76" s="8" t="s">
        <v>36</v>
      </c>
      <c r="K76" s="8" t="s">
        <v>36</v>
      </c>
      <c r="L76" s="8" t="s">
        <v>36</v>
      </c>
      <c r="M76" s="8" t="s">
        <v>36</v>
      </c>
      <c r="N76" s="8" t="s">
        <v>36</v>
      </c>
      <c r="O76" s="8" t="s">
        <v>36</v>
      </c>
      <c r="P76" s="8" t="s">
        <v>36</v>
      </c>
      <c r="Q76" s="8" t="s">
        <v>36</v>
      </c>
      <c r="R76" s="48" t="s">
        <v>164</v>
      </c>
      <c r="S76" s="99"/>
    </row>
  </sheetData>
  <autoFilter ref="A1:T76" xr:uid="{00000000-0001-0000-0100-000000000000}"/>
  <mergeCells count="5">
    <mergeCell ref="F5:H5"/>
    <mergeCell ref="I5:K5"/>
    <mergeCell ref="L5:N5"/>
    <mergeCell ref="O5:Q5"/>
    <mergeCell ref="R10:R11"/>
  </mergeCells>
  <phoneticPr fontId="32" type="noConversion"/>
  <pageMargins left="0.70866141732283472" right="0.51181102362204722" top="0.74803149606299213" bottom="0.74803149606299213" header="0.31496062992125984" footer="0.31496062992125984"/>
  <pageSetup paperSize="9" scale="10" orientation="landscape" r:id="rId1"/>
  <headerFooter>
    <oddHeader xml:space="preserve">&amp;L&amp;10&amp;K8A8B8C&amp;G 
&amp;R
</oddHeader>
    <oddFooter>&amp;L&amp;8Pag. &amp;P/&amp;N&amp;R&amp;7Rua Conselheiro Emídio Navarro 1
1959-007 Lisboa- Portugal
 Tel: (+351) 218 317 000 
Fax: (+351) 218 317 162
Web: www.isel.pt</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C267-0C77-4724-9277-8F7D0144AB8C}">
  <dimension ref="A1:F22"/>
  <sheetViews>
    <sheetView workbookViewId="0">
      <selection activeCell="D7" sqref="D7"/>
    </sheetView>
  </sheetViews>
  <sheetFormatPr defaultRowHeight="15" x14ac:dyDescent="0.25"/>
  <cols>
    <col min="1" max="1" width="34.85546875" customWidth="1"/>
    <col min="2" max="2" width="26.140625" customWidth="1"/>
    <col min="3" max="3" width="21.140625" customWidth="1"/>
    <col min="4" max="4" width="18.7109375" customWidth="1"/>
    <col min="6" max="6" width="24.5703125" customWidth="1"/>
  </cols>
  <sheetData>
    <row r="1" spans="1:6" ht="15.75" thickBot="1" x14ac:dyDescent="0.3"/>
    <row r="2" spans="1:6" ht="23.25" thickBot="1" x14ac:dyDescent="0.3">
      <c r="A2" s="81" t="s">
        <v>256</v>
      </c>
      <c r="B2" s="82" t="s">
        <v>257</v>
      </c>
      <c r="C2" s="82" t="s">
        <v>258</v>
      </c>
      <c r="D2" s="82" t="s">
        <v>259</v>
      </c>
      <c r="E2" s="82" t="s">
        <v>260</v>
      </c>
      <c r="F2" s="82" t="s">
        <v>261</v>
      </c>
    </row>
    <row r="3" spans="1:6" ht="23.25" thickBot="1" x14ac:dyDescent="0.3">
      <c r="A3" s="83" t="s">
        <v>262</v>
      </c>
      <c r="B3" s="84" t="s">
        <v>263</v>
      </c>
      <c r="C3" s="84" t="s">
        <v>264</v>
      </c>
      <c r="D3" s="84"/>
      <c r="E3" s="84"/>
      <c r="F3" s="84" t="s">
        <v>265</v>
      </c>
    </row>
    <row r="4" spans="1:6" ht="34.5" thickBot="1" x14ac:dyDescent="0.3">
      <c r="A4" s="83" t="s">
        <v>266</v>
      </c>
      <c r="B4" s="84" t="s">
        <v>267</v>
      </c>
      <c r="C4" s="84" t="s">
        <v>264</v>
      </c>
      <c r="D4" s="84"/>
      <c r="E4" s="84"/>
      <c r="F4" s="84" t="s">
        <v>268</v>
      </c>
    </row>
    <row r="5" spans="1:6" ht="23.25" thickBot="1" x14ac:dyDescent="0.3">
      <c r="A5" s="83" t="s">
        <v>269</v>
      </c>
      <c r="B5" s="84" t="s">
        <v>270</v>
      </c>
      <c r="C5" s="84" t="s">
        <v>264</v>
      </c>
      <c r="D5" s="84" t="s">
        <v>259</v>
      </c>
      <c r="E5" s="84" t="s">
        <v>260</v>
      </c>
      <c r="F5" s="84" t="s">
        <v>271</v>
      </c>
    </row>
    <row r="6" spans="1:6" ht="23.25" thickBot="1" x14ac:dyDescent="0.3">
      <c r="A6" s="83" t="s">
        <v>272</v>
      </c>
      <c r="B6" s="84" t="s">
        <v>273</v>
      </c>
      <c r="C6" s="84" t="s">
        <v>274</v>
      </c>
      <c r="D6" s="84"/>
      <c r="E6" s="84" t="s">
        <v>275</v>
      </c>
      <c r="F6" s="84" t="s">
        <v>276</v>
      </c>
    </row>
    <row r="7" spans="1:6" ht="23.25" thickBot="1" x14ac:dyDescent="0.3">
      <c r="A7" s="83" t="s">
        <v>277</v>
      </c>
      <c r="B7" s="84" t="s">
        <v>278</v>
      </c>
      <c r="C7" s="84" t="s">
        <v>264</v>
      </c>
      <c r="D7" s="84" t="s">
        <v>259</v>
      </c>
      <c r="E7" s="84" t="s">
        <v>260</v>
      </c>
      <c r="F7" s="84" t="s">
        <v>261</v>
      </c>
    </row>
    <row r="8" spans="1:6" ht="23.25" thickBot="1" x14ac:dyDescent="0.3">
      <c r="A8" s="83" t="s">
        <v>279</v>
      </c>
      <c r="B8" s="84" t="s">
        <v>280</v>
      </c>
      <c r="C8" s="84" t="s">
        <v>264</v>
      </c>
      <c r="D8" s="84"/>
      <c r="E8" s="84"/>
      <c r="F8" s="84" t="s">
        <v>281</v>
      </c>
    </row>
    <row r="9" spans="1:6" ht="34.5" thickBot="1" x14ac:dyDescent="0.3">
      <c r="A9" s="83" t="s">
        <v>282</v>
      </c>
      <c r="B9" s="84" t="s">
        <v>283</v>
      </c>
      <c r="C9" s="84" t="s">
        <v>284</v>
      </c>
      <c r="D9" s="84" t="s">
        <v>285</v>
      </c>
      <c r="E9" s="84"/>
      <c r="F9" s="84" t="s">
        <v>276</v>
      </c>
    </row>
    <row r="10" spans="1:6" ht="23.25" thickBot="1" x14ac:dyDescent="0.3">
      <c r="A10" s="83" t="s">
        <v>286</v>
      </c>
      <c r="B10" s="84" t="s">
        <v>287</v>
      </c>
      <c r="C10" s="84" t="s">
        <v>264</v>
      </c>
      <c r="D10" s="84" t="s">
        <v>259</v>
      </c>
      <c r="E10" s="84" t="s">
        <v>288</v>
      </c>
      <c r="F10" s="84" t="s">
        <v>261</v>
      </c>
    </row>
    <row r="11" spans="1:6" ht="15.75" thickBot="1" x14ac:dyDescent="0.3">
      <c r="A11" s="83" t="s">
        <v>289</v>
      </c>
      <c r="B11" s="84" t="s">
        <v>290</v>
      </c>
      <c r="C11" s="84" t="s">
        <v>291</v>
      </c>
      <c r="D11" s="84"/>
      <c r="E11" s="84"/>
      <c r="F11" s="84" t="s">
        <v>292</v>
      </c>
    </row>
    <row r="12" spans="1:6" ht="23.25" thickBot="1" x14ac:dyDescent="0.3">
      <c r="A12" s="83" t="s">
        <v>293</v>
      </c>
      <c r="B12" s="84" t="s">
        <v>294</v>
      </c>
      <c r="C12" s="84" t="s">
        <v>291</v>
      </c>
      <c r="D12" s="84"/>
      <c r="E12" s="84"/>
      <c r="F12" s="84" t="s">
        <v>292</v>
      </c>
    </row>
    <row r="13" spans="1:6" ht="15.75" thickBot="1" x14ac:dyDescent="0.3">
      <c r="A13" s="83" t="s">
        <v>295</v>
      </c>
      <c r="B13" s="84" t="s">
        <v>296</v>
      </c>
      <c r="C13" s="84" t="s">
        <v>291</v>
      </c>
      <c r="D13" s="84"/>
      <c r="E13" s="84"/>
      <c r="F13" s="84" t="s">
        <v>292</v>
      </c>
    </row>
    <row r="14" spans="1:6" ht="15.75" thickBot="1" x14ac:dyDescent="0.3">
      <c r="A14" s="85" t="s">
        <v>297</v>
      </c>
      <c r="B14" s="84" t="s">
        <v>298</v>
      </c>
      <c r="C14" s="84" t="s">
        <v>299</v>
      </c>
      <c r="D14" s="84"/>
      <c r="E14" s="84"/>
      <c r="F14" s="84" t="s">
        <v>292</v>
      </c>
    </row>
    <row r="15" spans="1:6" ht="15.75" thickBot="1" x14ac:dyDescent="0.3">
      <c r="A15" s="83" t="s">
        <v>300</v>
      </c>
      <c r="B15" s="84" t="s">
        <v>301</v>
      </c>
      <c r="C15" s="84" t="s">
        <v>299</v>
      </c>
      <c r="D15" s="84"/>
      <c r="E15" s="84"/>
      <c r="F15" s="84" t="s">
        <v>292</v>
      </c>
    </row>
    <row r="16" spans="1:6" ht="23.25" thickBot="1" x14ac:dyDescent="0.3">
      <c r="A16" s="83" t="s">
        <v>302</v>
      </c>
      <c r="B16" s="84" t="s">
        <v>303</v>
      </c>
      <c r="C16" s="84"/>
      <c r="D16" s="84" t="s">
        <v>304</v>
      </c>
      <c r="E16" s="84"/>
      <c r="F16" s="84" t="s">
        <v>292</v>
      </c>
    </row>
    <row r="17" spans="1:6" ht="23.25" thickBot="1" x14ac:dyDescent="0.3">
      <c r="A17" s="83" t="s">
        <v>305</v>
      </c>
      <c r="B17" s="84" t="s">
        <v>306</v>
      </c>
      <c r="C17" s="84" t="s">
        <v>307</v>
      </c>
      <c r="D17" s="84"/>
      <c r="E17" s="84"/>
      <c r="F17" s="84" t="s">
        <v>308</v>
      </c>
    </row>
    <row r="18" spans="1:6" ht="23.25" thickBot="1" x14ac:dyDescent="0.3">
      <c r="A18" s="83" t="s">
        <v>309</v>
      </c>
      <c r="B18" s="84" t="s">
        <v>310</v>
      </c>
      <c r="C18" s="84"/>
      <c r="D18" s="84"/>
      <c r="E18" s="84"/>
      <c r="F18" s="84" t="s">
        <v>308</v>
      </c>
    </row>
    <row r="19" spans="1:6" ht="22.5" x14ac:dyDescent="0.25">
      <c r="A19" s="90"/>
      <c r="B19" s="90" t="s">
        <v>311</v>
      </c>
      <c r="C19" s="86" t="s">
        <v>312</v>
      </c>
      <c r="D19" s="90"/>
      <c r="E19" s="90"/>
      <c r="F19" s="90"/>
    </row>
    <row r="20" spans="1:6" ht="15.75" thickBot="1" x14ac:dyDescent="0.3">
      <c r="A20" s="91"/>
      <c r="B20" s="91"/>
      <c r="C20" s="84" t="s">
        <v>313</v>
      </c>
      <c r="D20" s="91"/>
      <c r="E20" s="91"/>
      <c r="F20" s="91"/>
    </row>
    <row r="21" spans="1:6" ht="22.5" x14ac:dyDescent="0.25">
      <c r="A21" s="90"/>
      <c r="B21" s="86" t="s">
        <v>314</v>
      </c>
      <c r="C21" s="86" t="s">
        <v>312</v>
      </c>
      <c r="D21" s="90"/>
      <c r="E21" s="90"/>
      <c r="F21" s="90"/>
    </row>
    <row r="22" spans="1:6" ht="23.25" thickBot="1" x14ac:dyDescent="0.3">
      <c r="A22" s="91"/>
      <c r="B22" s="84" t="s">
        <v>315</v>
      </c>
      <c r="C22" s="84" t="s">
        <v>316</v>
      </c>
      <c r="D22" s="91"/>
      <c r="E22" s="91"/>
      <c r="F22" s="91"/>
    </row>
  </sheetData>
  <mergeCells count="9">
    <mergeCell ref="A21:A22"/>
    <mergeCell ref="D21:D22"/>
    <mergeCell ref="E21:E22"/>
    <mergeCell ref="F21:F22"/>
    <mergeCell ref="A19:A20"/>
    <mergeCell ref="B19:B20"/>
    <mergeCell ref="D19:D20"/>
    <mergeCell ref="E19:E20"/>
    <mergeCell ref="F19:F2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6B4F-AC53-4573-B1D1-F2D96A971FEF}">
  <dimension ref="A2:A4"/>
  <sheetViews>
    <sheetView workbookViewId="0"/>
  </sheetViews>
  <sheetFormatPr defaultRowHeight="15" x14ac:dyDescent="0.25"/>
  <sheetData>
    <row r="2" spans="1:1" x14ac:dyDescent="0.25">
      <c r="A2">
        <v>49.79</v>
      </c>
    </row>
    <row r="3" spans="1:1" x14ac:dyDescent="0.25">
      <c r="A3">
        <v>5</v>
      </c>
    </row>
    <row r="4" spans="1:1" x14ac:dyDescent="0.25">
      <c r="A4">
        <f>SUM(A1:A3)</f>
        <v>54.79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1175-1617-42BD-BC1D-19E91DBFCE0F}">
  <dimension ref="B2:J31"/>
  <sheetViews>
    <sheetView workbookViewId="0">
      <selection activeCell="B15" sqref="B15:B30"/>
    </sheetView>
  </sheetViews>
  <sheetFormatPr defaultRowHeight="15" x14ac:dyDescent="0.25"/>
  <sheetData>
    <row r="2" spans="2:10" x14ac:dyDescent="0.25">
      <c r="H2" t="s">
        <v>241</v>
      </c>
      <c r="I2">
        <f>SUM(C26:C30)</f>
        <v>72</v>
      </c>
    </row>
    <row r="3" spans="2:10" x14ac:dyDescent="0.25">
      <c r="B3" s="58" t="s">
        <v>206</v>
      </c>
      <c r="C3">
        <v>108</v>
      </c>
      <c r="H3" t="s">
        <v>234</v>
      </c>
      <c r="I3">
        <f>SUM(C3:C14)</f>
        <v>3004</v>
      </c>
    </row>
    <row r="4" spans="2:10" x14ac:dyDescent="0.25">
      <c r="B4" s="58" t="s">
        <v>207</v>
      </c>
      <c r="C4">
        <v>260</v>
      </c>
      <c r="H4" t="s">
        <v>235</v>
      </c>
      <c r="I4">
        <f>SUM(C15:C25)</f>
        <v>749</v>
      </c>
    </row>
    <row r="5" spans="2:10" x14ac:dyDescent="0.25">
      <c r="B5" s="61" t="s">
        <v>208</v>
      </c>
      <c r="C5">
        <v>358</v>
      </c>
      <c r="D5" s="62">
        <f>C4+C5+C3+C14</f>
        <v>777</v>
      </c>
      <c r="E5" t="s">
        <v>237</v>
      </c>
      <c r="I5">
        <f>SUM(I2:I4)</f>
        <v>3825</v>
      </c>
      <c r="J5">
        <f>I5/5</f>
        <v>765</v>
      </c>
    </row>
    <row r="6" spans="2:10" x14ac:dyDescent="0.25">
      <c r="B6" s="60" t="s">
        <v>209</v>
      </c>
      <c r="C6">
        <v>331</v>
      </c>
    </row>
    <row r="7" spans="2:10" x14ac:dyDescent="0.25">
      <c r="B7" s="63" t="s">
        <v>210</v>
      </c>
      <c r="C7">
        <v>31</v>
      </c>
      <c r="D7" s="65">
        <f>C7+C8+C12</f>
        <v>764</v>
      </c>
      <c r="E7" t="s">
        <v>238</v>
      </c>
      <c r="F7" t="s">
        <v>242</v>
      </c>
    </row>
    <row r="8" spans="2:10" x14ac:dyDescent="0.25">
      <c r="B8" s="63" t="s">
        <v>211</v>
      </c>
      <c r="C8">
        <v>539</v>
      </c>
    </row>
    <row r="9" spans="2:10" x14ac:dyDescent="0.25">
      <c r="B9" s="60" t="s">
        <v>212</v>
      </c>
      <c r="C9">
        <v>361</v>
      </c>
    </row>
    <row r="10" spans="2:10" x14ac:dyDescent="0.25">
      <c r="B10" s="69" t="s">
        <v>213</v>
      </c>
      <c r="C10">
        <v>119</v>
      </c>
      <c r="D10" s="66">
        <f>C6+C9+C24+C25+C17</f>
        <v>768</v>
      </c>
      <c r="E10" t="s">
        <v>236</v>
      </c>
    </row>
    <row r="11" spans="2:10" x14ac:dyDescent="0.25">
      <c r="B11" s="69" t="s">
        <v>214</v>
      </c>
      <c r="C11">
        <v>562</v>
      </c>
    </row>
    <row r="12" spans="2:10" x14ac:dyDescent="0.25">
      <c r="B12" s="63" t="s">
        <v>215</v>
      </c>
      <c r="C12">
        <v>194</v>
      </c>
    </row>
    <row r="13" spans="2:10" x14ac:dyDescent="0.25">
      <c r="B13" s="69" t="s">
        <v>216</v>
      </c>
      <c r="C13">
        <v>90</v>
      </c>
      <c r="D13" s="68">
        <f>C13+C11+C10</f>
        <v>771</v>
      </c>
      <c r="E13" t="s">
        <v>239</v>
      </c>
    </row>
    <row r="14" spans="2:10" x14ac:dyDescent="0.25">
      <c r="B14" s="58" t="s">
        <v>217</v>
      </c>
      <c r="C14">
        <v>51</v>
      </c>
    </row>
    <row r="15" spans="2:10" x14ac:dyDescent="0.25">
      <c r="B15" s="71" t="s">
        <v>218</v>
      </c>
      <c r="C15">
        <v>89</v>
      </c>
    </row>
    <row r="16" spans="2:10" x14ac:dyDescent="0.25">
      <c r="B16" s="71" t="s">
        <v>219</v>
      </c>
      <c r="C16">
        <v>90</v>
      </c>
    </row>
    <row r="17" spans="2:5" x14ac:dyDescent="0.25">
      <c r="B17" s="67" t="s">
        <v>220</v>
      </c>
      <c r="C17">
        <v>38</v>
      </c>
    </row>
    <row r="18" spans="2:5" x14ac:dyDescent="0.25">
      <c r="B18" s="71" t="s">
        <v>221</v>
      </c>
      <c r="C18">
        <v>92</v>
      </c>
    </row>
    <row r="19" spans="2:5" x14ac:dyDescent="0.25">
      <c r="B19" s="71" t="s">
        <v>222</v>
      </c>
      <c r="C19">
        <v>38</v>
      </c>
    </row>
    <row r="20" spans="2:5" x14ac:dyDescent="0.25">
      <c r="B20" s="71" t="s">
        <v>223</v>
      </c>
      <c r="C20">
        <v>90</v>
      </c>
    </row>
    <row r="21" spans="2:5" x14ac:dyDescent="0.25">
      <c r="B21" s="71" t="s">
        <v>224</v>
      </c>
      <c r="C21">
        <v>65</v>
      </c>
    </row>
    <row r="22" spans="2:5" x14ac:dyDescent="0.25">
      <c r="B22" s="71" t="s">
        <v>225</v>
      </c>
      <c r="C22">
        <v>57</v>
      </c>
    </row>
    <row r="23" spans="2:5" x14ac:dyDescent="0.25">
      <c r="B23" s="71" t="s">
        <v>226</v>
      </c>
      <c r="C23">
        <v>152</v>
      </c>
      <c r="D23" s="70">
        <f>C15+C16+C18+C19+C20+C21+C22+C23+C26+C27+C28+C29+C30</f>
        <v>745</v>
      </c>
      <c r="E23" t="s">
        <v>240</v>
      </c>
    </row>
    <row r="24" spans="2:5" x14ac:dyDescent="0.25">
      <c r="B24" s="67" t="s">
        <v>227</v>
      </c>
      <c r="C24">
        <v>23</v>
      </c>
    </row>
    <row r="25" spans="2:5" x14ac:dyDescent="0.25">
      <c r="B25" s="67" t="s">
        <v>228</v>
      </c>
      <c r="C25">
        <v>15</v>
      </c>
    </row>
    <row r="26" spans="2:5" x14ac:dyDescent="0.25">
      <c r="B26" s="71" t="s">
        <v>229</v>
      </c>
      <c r="C26">
        <v>11</v>
      </c>
    </row>
    <row r="27" spans="2:5" x14ac:dyDescent="0.25">
      <c r="B27" s="71" t="s">
        <v>230</v>
      </c>
      <c r="C27">
        <v>19</v>
      </c>
    </row>
    <row r="28" spans="2:5" x14ac:dyDescent="0.25">
      <c r="B28" s="71" t="s">
        <v>231</v>
      </c>
      <c r="C28">
        <v>25</v>
      </c>
    </row>
    <row r="29" spans="2:5" x14ac:dyDescent="0.25">
      <c r="B29" s="71" t="s">
        <v>232</v>
      </c>
      <c r="C29">
        <v>6</v>
      </c>
    </row>
    <row r="30" spans="2:5" x14ac:dyDescent="0.25">
      <c r="B30" s="71" t="s">
        <v>233</v>
      </c>
      <c r="C30" s="59">
        <v>11</v>
      </c>
    </row>
    <row r="31" spans="2:5" x14ac:dyDescent="0.25">
      <c r="B31"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2</vt:i4>
      </vt:variant>
    </vt:vector>
  </HeadingPairs>
  <TitlesOfParts>
    <vt:vector size="7" baseType="lpstr">
      <vt:lpstr>Folha1</vt:lpstr>
      <vt:lpstr>2022</vt:lpstr>
      <vt:lpstr>Folha3</vt:lpstr>
      <vt:lpstr>Folha2</vt:lpstr>
      <vt:lpstr>CleanUp</vt:lpstr>
      <vt:lpstr>'2022'!_Hlk159920350</vt:lpstr>
      <vt:lpstr>'2022'!Títulos_de_Impressão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Anabela Carneiro</dc:creator>
  <cp:lastModifiedBy>Sandra Ferreira</cp:lastModifiedBy>
  <cp:lastPrinted>2019-10-31T15:39:24Z</cp:lastPrinted>
  <dcterms:created xsi:type="dcterms:W3CDTF">2014-10-14T08:58:48Z</dcterms:created>
  <dcterms:modified xsi:type="dcterms:W3CDTF">2025-02-04T17:48:42Z</dcterms:modified>
</cp:coreProperties>
</file>